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450" tabRatio="600" firstSheet="0" activeTab="0" autoFilterDateGrouping="1"/>
  </bookViews>
  <sheets>
    <sheet xmlns:r="http://schemas.openxmlformats.org/officeDocument/2006/relationships" name="01_Паки" sheetId="1" state="visible" r:id="rId1"/>
    <sheet xmlns:r="http://schemas.openxmlformats.org/officeDocument/2006/relationships" name="02_Замены" sheetId="2" state="visible" r:id="rId2"/>
    <sheet xmlns:r="http://schemas.openxmlformats.org/officeDocument/2006/relationships" name="03_Объекты" sheetId="3" state="visible" r:id="rId3"/>
    <sheet xmlns:r="http://schemas.openxmlformats.org/officeDocument/2006/relationships" name="04_Квесты" sheetId="4" state="visible" r:id="rId4"/>
    <sheet xmlns:r="http://schemas.openxmlformats.org/officeDocument/2006/relationships" name="05_Награды" sheetId="5" state="visible" r:id="rId5"/>
    <sheet xmlns:r="http://schemas.openxmlformats.org/officeDocument/2006/relationships" name="README" sheetId="6" state="visible" r:id="rId6"/>
    <sheet xmlns:r="http://schemas.openxmlformats.org/officeDocument/2006/relationships" name="lists" sheetId="7" state="hidden" r:id="rId7"/>
  </sheets>
  <definedNames>
    <definedName name="_xlnm._FilterDatabase" localSheetId="0" hidden="1">'01_Паки'!$A$1:$M$26</definedName>
    <definedName name="_xlnm._FilterDatabase" localSheetId="1" hidden="1">'02_Замены'!$A$1:$F$73</definedName>
    <definedName name="_xlnm._FilterDatabase" localSheetId="2" hidden="1">'03_Объекты'!$A$1:$L$121</definedName>
    <definedName name="_xlnm._FilterDatabase" localSheetId="3" hidden="1">'04_Квесты'!$A$1:$I$73</definedName>
    <definedName name="_xlnm._FilterDatabase" localSheetId="4" hidden="1">'05_Награды'!$A$1:$J$85</definedName>
  </definedNames>
  <calcPr calcId="162913" fullCalcOnLoad="1" forceFullCalc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harset val="204"/>
      <family val="2"/>
      <b val="1"/>
      <color rgb="FF1F4E78"/>
      <sz val="12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b val="1"/>
      <sz val="11"/>
    </font>
  </fonts>
  <fills count="9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9E1F2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305496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1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49" fontId="0" fillId="0" borderId="0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Codex</author>
  </authors>
  <commentList>
    <comment ref="B1" authorId="0" shapeId="0">
      <text>
        <t>Рабочий статус строки. Для нового pack можно ставить 'готово для генерации', когда все нужные вкладки заполнены.</t>
      </text>
    </comment>
    <comment ref="C1" authorId="0" shapeId="0">
      <text>
        <t>Главный prefix/classname набора. Им заменяется Adventure_3_Sport_9 во всех связанных прототипах.</t>
      </text>
    </comment>
    <comment ref="D1" authorId="0" shapeId="0">
      <text>
        <t>Папка события без последнего номера. Обычно это часть пути и event_frame: Adventure_3_Sport.</t>
      </text>
    </comment>
    <comment ref="E1" authorId="0" shapeId="0">
      <text>
        <t>Главный ресурс прогресса event. В rewards quest это поле tasks.N.classname.</t>
      </text>
    </comment>
    <comment ref="F1" authorId="0" shapeId="0">
      <text>
        <t>Название события/главного rewards quest. В доноре: Спортивный турнир.</t>
      </text>
    </comment>
    <comment ref="G1" authorId="0" shapeId="0">
      <text>
        <t>Title quest_group, обычно название окна/раздела события.</t>
      </text>
    </comment>
    <comment ref="H1" authorId="0" shapeId="0">
      <text>
        <t>Подсказка по будущим output paths. Заполняй только если путь не выводится очевидно из event_folder/new_prefix.</t>
      </text>
    </comment>
    <comment ref="I1" authorId="0" shapeId="0">
      <text>
        <t>Срок события человеческим текстом для правил/подсказок. Механические сроки можно наследовать отдельно.</t>
      </text>
    </comment>
    <comment ref="K1" authorId="0" shapeId="0">
      <text>
        <t>Любые ограничения: что оставить как в доноре, что заменить дополнительно, какие данные ещё не утверждены.</t>
      </text>
    </comment>
    <comment ref="L1" authorId="0" shapeId="0">
      <text>
        <t>Заполняется вручную перед сборкой, если нужны новые id в proto.</t>
      </text>
    </comment>
    <comment ref="M1" authorId="0" shapeId="0">
      <text>
        <t>Заполняется вручную перед сборкой, если нужны новые identifier в tasks.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D1" authorId="0" shapeId="0">
      <text>
        <t>Для первых трёх строк на каждый pack стоят формулы из 01_Паки. Можно заменить вручную, если нужен нестандартный случай.</t>
      </text>
    </comment>
    <comment ref="F1" authorId="0" shapeId="0">
      <text>
        <t>Эта вкладка нужна для явных replace. Поля, которых здесь нет, наследуются из reference proto.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B1" authorId="0" shapeId="0">
      <text>
        <t>Тип сущности в брифе. Это не proto class, а удобный ярлык для генерации таблиц.</t>
      </text>
    </comment>
    <comment ref="D1" authorId="0" shapeId="0">
      <text>
        <t>Новый classname. В референсной строке он совпадает со старым, в новом наборе ты меняешь его.</t>
      </text>
    </comment>
    <comment ref="F1" authorId="0" shapeId="0">
      <text>
        <t>Видимое описание игроку. Если у сущности нет description, оставь пустым.</t>
      </text>
    </comment>
    <comment ref="G1" authorId="0" shapeId="0">
      <text>
        <t>Для pet: default_name. Для остальных обычно пусто.</t>
      </text>
    </comment>
    <comment ref="H1" authorId="0" shapeId="0">
      <text>
        <t>Дополнительный видимый текст: hint для награды, title_attention для pet или другая подсказка.</t>
      </text>
    </comment>
    <comment ref="L1" authorId="0" shapeId="0">
      <text>
        <t>Служебные детали из донора: rand_reward, meta_info, event_frame, цены, условия. Можно менять только если нужно.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E1" authorId="0" shapeId="0">
      <text>
        <t>Title для видимых квестов/окон. Для технических task строк можно оставить пусто, если текст наследуется.</t>
      </text>
    </comment>
    <comment ref="F1" authorId="0" shapeId="0">
      <text>
        <t>Заполняй только для видимых сюжетных/правиловых текстов. Если у донора поля нет, строка может быть пустой.</t>
      </text>
    </comment>
    <comment ref="H1" authorId="0" shapeId="0">
      <text>
        <t>Готовый текст description внутри quest_rule_window. Для нового набора меняется тема, ресурс, список наград и срок.</t>
      </text>
    </comment>
  </commentList>
</comments>
</file>

<file path=xl/comments/comment5.xml><?xml version="1.0" encoding="utf-8"?>
<comments xmlns="http://schemas.openxmlformats.org/spreadsheetml/2006/main">
  <authors>
    <author>Codex</author>
  </authors>
  <commentList>
    <comment ref="B1" authorId="0" shapeId="0">
      <text>
        <t>Это tasks.N в rewards quest. Индексация с нуля, как в шаблоне.</t>
      </text>
    </comment>
    <comment ref="C1" authorId="0" shapeId="0">
      <text>
        <t>Порог главного ресурса, при котором игрок получает milestone-награду.</t>
      </text>
    </comment>
    <comment ref="D1" authorId="0" shapeId="0">
      <text>
        <t>Обычно главный ресурс pack из 01_Паки/main_resource.</t>
      </text>
    </comment>
    <comment ref="E1" authorId="0" shapeId="0">
      <text>
        <t>Строка награды в формате converter/proto: asset=Classname:amount, money=..., можно через +.</t>
      </text>
    </comment>
    <comment ref="I1" authorId="0" shapeId="0">
      <text>
        <t>Обычно пусто. Заполняй только если нужен явный identifier в task object.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tabSelected="1" topLeftCell="E1" workbookViewId="0">
      <pane ySplit="1" topLeftCell="A5" activePane="bottomLeft" state="frozen"/>
      <selection pane="bottomLeft" activeCell="M9" sqref="M9"/>
    </sheetView>
  </sheetViews>
  <sheetFormatPr baseColWidth="8" defaultRowHeight="15"/>
  <cols>
    <col width="10" customWidth="1" min="1" max="1"/>
    <col width="14" customWidth="1" min="2" max="2"/>
    <col width="20" customWidth="1" min="3" max="5"/>
    <col width="26" customWidth="1" min="6" max="7"/>
    <col width="48" customWidth="1" min="8" max="8"/>
    <col width="14" customWidth="1" min="9" max="9"/>
    <col width="34" customWidth="1" min="10" max="10"/>
    <col width="28" customWidth="1" min="11" max="11"/>
    <col width="18" customWidth="1" min="12" max="13"/>
  </cols>
  <sheetData>
    <row r="1" ht="33.95" customHeight="1">
      <c r="A1" s="11" t="inlineStr">
        <is>
          <t>pack_no</t>
        </is>
      </c>
      <c r="B1" s="11" t="inlineStr">
        <is>
          <t>status</t>
        </is>
      </c>
      <c r="C1" s="11" t="inlineStr">
        <is>
          <t>new_prefix</t>
        </is>
      </c>
      <c r="D1" s="11" t="inlineStr">
        <is>
          <t>event_folder</t>
        </is>
      </c>
      <c r="E1" s="11" t="inlineStr">
        <is>
          <t>main_resource</t>
        </is>
      </c>
      <c r="F1" s="11" t="inlineStr">
        <is>
          <t>event_title_ru</t>
        </is>
      </c>
      <c r="G1" s="11" t="inlineStr">
        <is>
          <t>quest_group_title</t>
        </is>
      </c>
      <c r="H1" s="11" t="inlineStr">
        <is>
          <t>output_root_hint</t>
        </is>
      </c>
      <c r="I1" s="11" t="inlineStr">
        <is>
          <t>duration_text</t>
        </is>
      </c>
      <c r="J1" s="11" t="inlineStr">
        <is>
          <t>source_reference</t>
        </is>
      </c>
      <c r="K1" s="11" t="inlineStr">
        <is>
          <t>notes</t>
        </is>
      </c>
      <c r="L1" s="12" t="inlineStr">
        <is>
          <t>Последний id proto</t>
        </is>
      </c>
      <c r="M1" s="12" t="inlineStr">
        <is>
          <t>Последний id task</t>
        </is>
      </c>
    </row>
    <row r="2" ht="30" customHeight="1">
      <c r="A2" s="1" t="n">
        <v>1</v>
      </c>
      <c r="B2" s="1" t="inlineStr">
        <is>
          <t>проверено</t>
        </is>
      </c>
      <c r="C2" s="2" t="inlineStr">
        <is>
          <t>Adventure_4_1</t>
        </is>
      </c>
      <c r="D2" s="2">
        <f>IF(C2="","",IFERROR(LEFT(C2,FIND("~",SUBSTITUTE(C2,"_","~",LEN(C2)-LEN(SUBSTITUTE(C2,"_",""))))-1),C2))</f>
        <v/>
      </c>
      <c r="E2" s="2" t="inlineStr">
        <is>
          <t>Adventure_GR_4</t>
        </is>
      </c>
      <c r="F2" s="2" t="inlineStr">
        <is>
          <t>Царевна-лягушка</t>
        </is>
      </c>
      <c r="G2" s="2" t="inlineStr">
        <is>
          <t>Сказочные приключения</t>
        </is>
      </c>
      <c r="H2" s="3">
        <f>IF(C2="","","стандартные пути Adventure/"&amp;(IF(C2="","",IFERROR(LEFT(C2,FIND("~",SUBSTITUTE(C2,"_","~",LEN(C2)-LEN(SUBSTITUTE(C2,"_",""))))-1),C2)))&amp;"/"&amp;C2)</f>
        <v/>
      </c>
      <c r="I2" s="3" t="inlineStr">
        <is>
          <t>2 дня</t>
        </is>
      </c>
      <c r="J2" s="4" t="inlineStr">
        <is>
          <t>Adventure_template / Adventure_3_Sport_9</t>
        </is>
      </c>
      <c r="K2" s="3" t="n"/>
      <c r="L2" s="13" t="n"/>
      <c r="M2" s="14" t="n"/>
    </row>
    <row r="3" ht="30" customHeight="1">
      <c r="A3" s="1" t="n">
        <v>2</v>
      </c>
      <c r="B3" s="1" t="n"/>
      <c r="C3" s="2" t="inlineStr">
        <is>
          <t>Adventure_4_2</t>
        </is>
      </c>
      <c r="D3" s="2">
        <f>IF(C3="","",IFERROR(LEFT(C3,FIND("~",SUBSTITUTE(C3,"_","~",LEN(C3)-LEN(SUBSTITUTE(C3,"_",""))))-1),C3))</f>
        <v/>
      </c>
      <c r="E3" s="2" t="inlineStr">
        <is>
          <t>Adventure_GR_4</t>
        </is>
      </c>
      <c r="F3" s="2" t="inlineStr">
        <is>
          <t>Репка</t>
        </is>
      </c>
      <c r="G3" s="2" t="inlineStr">
        <is>
          <t>Сказочные приключения</t>
        </is>
      </c>
      <c r="H3" s="3">
        <f>IF(C3="","","стандартные пути Adventure/"&amp;(IF(C3="","",IFERROR(LEFT(C3,FIND("~",SUBSTITUTE(C3,"_","~",LEN(C3)-LEN(SUBSTITUTE(C3,"_",""))))-1),C3)))&amp;"/"&amp;C3)</f>
        <v/>
      </c>
      <c r="I3" s="3" t="inlineStr">
        <is>
          <t>2 дня</t>
        </is>
      </c>
      <c r="J3" s="4" t="inlineStr">
        <is>
          <t>Adventure_template / Adventure_3_Sport_9</t>
        </is>
      </c>
      <c r="K3" s="3" t="n"/>
      <c r="L3" s="13" t="n"/>
      <c r="M3" s="14" t="n"/>
    </row>
    <row r="4" ht="30" customHeight="1">
      <c r="A4" s="1" t="n">
        <v>3</v>
      </c>
      <c r="B4" s="1" t="n"/>
      <c r="C4" s="2" t="inlineStr">
        <is>
          <t>Adventure_4_3</t>
        </is>
      </c>
      <c r="D4" s="2">
        <f>IF(C4="","",IFERROR(LEFT(C4,FIND("~",SUBSTITUTE(C4,"_","~",LEN(C4)-LEN(SUBSTITUTE(C4,"_",""))))-1),C4))</f>
        <v/>
      </c>
      <c r="E4" s="2" t="inlineStr">
        <is>
          <t>Adventure_GR_4</t>
        </is>
      </c>
      <c r="F4" s="2" t="inlineStr">
        <is>
          <t>Курочка Ряба</t>
        </is>
      </c>
      <c r="G4" s="2" t="inlineStr">
        <is>
          <t>Сказочные приключения</t>
        </is>
      </c>
      <c r="H4" s="3">
        <f>IF(C4="","","стандартные пути Adventure/"&amp;(IF(C4="","",IFERROR(LEFT(C4,FIND("~",SUBSTITUTE(C4,"_","~",LEN(C4)-LEN(SUBSTITUTE(C4,"_",""))))-1),C4)))&amp;"/"&amp;C4)</f>
        <v/>
      </c>
      <c r="I4" s="3" t="inlineStr">
        <is>
          <t>2 дня</t>
        </is>
      </c>
      <c r="J4" s="4" t="inlineStr">
        <is>
          <t>Adventure_template / Adventure_3_Sport_9</t>
        </is>
      </c>
      <c r="K4" s="3" t="n"/>
      <c r="L4" s="13" t="n"/>
      <c r="M4" s="14" t="n"/>
    </row>
    <row r="5" ht="30" customHeight="1">
      <c r="A5" s="1" t="n">
        <v>4</v>
      </c>
      <c r="B5" s="1" t="n"/>
      <c r="C5" s="2" t="inlineStr">
        <is>
          <t>Adventure_4_4</t>
        </is>
      </c>
      <c r="D5" s="2">
        <f>IF(C5="","",IFERROR(LEFT(C5,FIND("~",SUBSTITUTE(C5,"_","~",LEN(C5)-LEN(SUBSTITUTE(C5,"_",""))))-1),C5))</f>
        <v/>
      </c>
      <c r="E5" s="2" t="inlineStr">
        <is>
          <t>Adventure_GR_4</t>
        </is>
      </c>
      <c r="F5" s="2" t="inlineStr">
        <is>
          <t>Золотая рыбка</t>
        </is>
      </c>
      <c r="G5" s="2" t="inlineStr">
        <is>
          <t>Сказочные приключения</t>
        </is>
      </c>
      <c r="H5" s="3">
        <f>IF(C5="","","стандартные пути Adventure/"&amp;(IF(C5="","",IFERROR(LEFT(C5,FIND("~",SUBSTITUTE(C5,"_","~",LEN(C5)-LEN(SUBSTITUTE(C5,"_",""))))-1),C5)))&amp;"/"&amp;C5)</f>
        <v/>
      </c>
      <c r="I5" s="3" t="inlineStr">
        <is>
          <t>2 дня</t>
        </is>
      </c>
      <c r="J5" s="4" t="inlineStr">
        <is>
          <t>Adventure_template / Adventure_3_Sport_9</t>
        </is>
      </c>
      <c r="K5" s="3" t="n"/>
      <c r="L5" s="13" t="n">
        <v>1200906</v>
      </c>
      <c r="M5" s="14" t="inlineStr">
        <is>
          <t>e100061</t>
        </is>
      </c>
    </row>
    <row r="6" ht="30" customHeight="1">
      <c r="A6" s="1" t="n">
        <v>5</v>
      </c>
      <c r="B6" s="1" t="n"/>
      <c r="C6" s="2" t="inlineStr">
        <is>
          <t>Adventure_4_5</t>
        </is>
      </c>
      <c r="D6" s="2">
        <f>IF(C6="","",IFERROR(LEFT(C6,FIND("~",SUBSTITUTE(C6,"_","~",LEN(C6)-LEN(SUBSTITUTE(C6,"_",""))))-1),C6))</f>
        <v/>
      </c>
      <c r="E6" s="2" t="inlineStr">
        <is>
          <t>Adventure_GR_4</t>
        </is>
      </c>
      <c r="F6" s="2" t="inlineStr">
        <is>
          <t>Волк и семеро козлят</t>
        </is>
      </c>
      <c r="G6" s="2" t="inlineStr">
        <is>
          <t>Сказочные приключения</t>
        </is>
      </c>
      <c r="H6" s="3">
        <f>IF(C6="","","стандартные пути Adventure/"&amp;(IF(C6="","",IFERROR(LEFT(C6,FIND("~",SUBSTITUTE(C6,"_","~",LEN(C6)-LEN(SUBSTITUTE(C6,"_",""))))-1),C6)))&amp;"/"&amp;C6)</f>
        <v/>
      </c>
      <c r="I6" s="3" t="inlineStr">
        <is>
          <t>2 дня</t>
        </is>
      </c>
      <c r="J6" s="4" t="inlineStr">
        <is>
          <t>Adventure_template / Adventure_3_Sport_9</t>
        </is>
      </c>
      <c r="K6" s="3" t="n"/>
      <c r="L6" s="13" t="n"/>
      <c r="M6" s="14" t="n"/>
    </row>
    <row r="7" ht="30" customHeight="1">
      <c r="A7" s="1" t="n">
        <v>6</v>
      </c>
      <c r="B7" s="1" t="n"/>
      <c r="C7" s="2" t="inlineStr">
        <is>
          <t>Adventure_4_6</t>
        </is>
      </c>
      <c r="D7" s="2">
        <f>IF(C7="","",IFERROR(LEFT(C7,FIND("~",SUBSTITUTE(C7,"_","~",LEN(C7)-LEN(SUBSTITUTE(C7,"_",""))))-1),C7))</f>
        <v/>
      </c>
      <c r="E7" s="2" t="inlineStr">
        <is>
          <t>Adventure_GR_4</t>
        </is>
      </c>
      <c r="F7" s="2" t="inlineStr">
        <is>
          <t>Петушок золотой гребешок</t>
        </is>
      </c>
      <c r="G7" s="2" t="inlineStr">
        <is>
          <t>Сказочные приключения</t>
        </is>
      </c>
      <c r="H7" s="3">
        <f>IF(C7="","","стандартные пути Adventure/"&amp;(IF(C7="","",IFERROR(LEFT(C7,FIND("~",SUBSTITUTE(C7,"_","~",LEN(C7)-LEN(SUBSTITUTE(C7,"_",""))))-1),C7)))&amp;"/"&amp;C7)</f>
        <v/>
      </c>
      <c r="I7" s="3" t="inlineStr">
        <is>
          <t>2 дня</t>
        </is>
      </c>
      <c r="J7" s="4" t="inlineStr">
        <is>
          <t>Adventure_template / Adventure_3_Sport_9</t>
        </is>
      </c>
      <c r="K7" s="3" t="n"/>
      <c r="L7" s="13" t="n"/>
      <c r="M7" s="14" t="n"/>
    </row>
    <row r="8" ht="30" customHeight="1">
      <c r="A8" s="1" t="n">
        <v>7</v>
      </c>
      <c r="B8" s="1" t="n"/>
      <c r="C8" s="2" t="inlineStr">
        <is>
          <t>Adventure_4_7</t>
        </is>
      </c>
      <c r="D8" s="2">
        <f>IF(C8="","",IFERROR(LEFT(C8,FIND("~",SUBSTITUTE(C8,"_","~",LEN(C8)-LEN(SUBSTITUTE(C8,"_",""))))-1),C8))</f>
        <v/>
      </c>
      <c r="E8" s="2" t="inlineStr">
        <is>
          <t>Adventure_GR_4</t>
        </is>
      </c>
      <c r="F8" s="2" t="inlineStr">
        <is>
          <t>Красная шапочка</t>
        </is>
      </c>
      <c r="G8" s="2" t="inlineStr">
        <is>
          <t>Сказочные приключения</t>
        </is>
      </c>
      <c r="H8" s="3">
        <f>IF(C8="","","стандартные пути Adventure/"&amp;(IF(C8="","",IFERROR(LEFT(C8,FIND("~",SUBSTITUTE(C8,"_","~",LEN(C8)-LEN(SUBSTITUTE(C8,"_",""))))-1),C8)))&amp;"/"&amp;C8)</f>
        <v/>
      </c>
      <c r="I8" s="3" t="inlineStr">
        <is>
          <t>2 дня</t>
        </is>
      </c>
      <c r="J8" s="4" t="inlineStr">
        <is>
          <t>Adventure_template / Adventure_3_Sport_9</t>
        </is>
      </c>
      <c r="K8" s="3" t="n"/>
      <c r="L8" s="13" t="n"/>
      <c r="M8" s="14" t="n"/>
    </row>
    <row r="9" ht="30" customHeight="1">
      <c r="A9" s="1" t="n">
        <v>8</v>
      </c>
      <c r="B9" s="1" t="n"/>
      <c r="C9" s="2" t="inlineStr">
        <is>
          <t>Adventure_4_8</t>
        </is>
      </c>
      <c r="D9" s="2">
        <f>IF(C9="","",IFERROR(LEFT(C9,FIND("~",SUBSTITUTE(C9,"_","~",LEN(C9)-LEN(SUBSTITUTE(C9,"_",""))))-1),C9))</f>
        <v/>
      </c>
      <c r="E9" s="2" t="inlineStr">
        <is>
          <t>Adventure_GR_4</t>
        </is>
      </c>
      <c r="F9" s="2" t="inlineStr">
        <is>
          <t>Три поросёнка</t>
        </is>
      </c>
      <c r="G9" s="2" t="inlineStr">
        <is>
          <t>Сказочные приключения</t>
        </is>
      </c>
      <c r="H9" s="3">
        <f>IF(C9="","","стандартные пути Adventure/"&amp;(IF(C9="","",IFERROR(LEFT(C9,FIND("~",SUBSTITUTE(C9,"_","~",LEN(C9)-LEN(SUBSTITUTE(C9,"_",""))))-1),C9)))&amp;"/"&amp;C9)</f>
        <v/>
      </c>
      <c r="I9" s="3" t="inlineStr">
        <is>
          <t>2 дня</t>
        </is>
      </c>
      <c r="J9" s="4" t="inlineStr">
        <is>
          <t>Adventure_template / Adventure_3_Sport_9</t>
        </is>
      </c>
      <c r="K9" s="3" t="n"/>
      <c r="L9" s="13" t="n"/>
      <c r="M9" s="14" t="n"/>
    </row>
    <row r="10" ht="30" customHeight="1">
      <c r="A10" s="1" t="n">
        <v>9</v>
      </c>
      <c r="B10" s="1" t="n"/>
      <c r="C10" s="2" t="inlineStr">
        <is>
          <t>Adventure_4_9</t>
        </is>
      </c>
      <c r="D10" s="2">
        <f>IF(C10="","",IFERROR(LEFT(C10,FIND("~",SUBSTITUTE(C10,"_","~",LEN(C10)-LEN(SUBSTITUTE(C10,"_",""))))-1),C10))</f>
        <v/>
      </c>
      <c r="E10" s="2" t="inlineStr">
        <is>
          <t>Adventure_GR_4</t>
        </is>
      </c>
      <c r="F10" s="2" t="inlineStr">
        <is>
          <t>Мартышка и очки</t>
        </is>
      </c>
      <c r="G10" s="2" t="inlineStr">
        <is>
          <t>Сказочные приключения</t>
        </is>
      </c>
      <c r="H10" s="3">
        <f>IF(C10="","","стандартные пути Adventure/"&amp;(IF(C10="","",IFERROR(LEFT(C10,FIND("~",SUBSTITUTE(C10,"_","~",LEN(C10)-LEN(SUBSTITUTE(C10,"_",""))))-1),C10)))&amp;"/"&amp;C10)</f>
        <v/>
      </c>
      <c r="I10" s="3" t="inlineStr">
        <is>
          <t>2 дня</t>
        </is>
      </c>
      <c r="J10" s="4" t="inlineStr">
        <is>
          <t>Adventure_template / Adventure_3_Sport_9</t>
        </is>
      </c>
      <c r="K10" s="3" t="n"/>
      <c r="L10" s="13" t="n"/>
      <c r="M10" s="14" t="n"/>
    </row>
    <row r="11" ht="30" customHeight="1">
      <c r="A11" s="1" t="n">
        <v>10</v>
      </c>
      <c r="B11" s="1" t="n"/>
      <c r="C11" s="2" t="inlineStr">
        <is>
          <t>Adventure_4_10</t>
        </is>
      </c>
      <c r="D11" s="2">
        <f>IF(C11="","",IFERROR(LEFT(C11,FIND("~",SUBSTITUTE(C11,"_","~",LEN(C11)-LEN(SUBSTITUTE(C11,"_",""))))-1),C11))</f>
        <v/>
      </c>
      <c r="E11" s="2" t="inlineStr">
        <is>
          <t>Adventure_GR_4</t>
        </is>
      </c>
      <c r="F11" s="2" t="inlineStr">
        <is>
          <t>Лиса и медведь</t>
        </is>
      </c>
      <c r="G11" s="2" t="inlineStr">
        <is>
          <t>Сказочные приключения</t>
        </is>
      </c>
      <c r="H11" s="3">
        <f>IF(C11="","","стандартные пути Adventure/"&amp;(IF(C11="","",IFERROR(LEFT(C11,FIND("~",SUBSTITUTE(C11,"_","~",LEN(C11)-LEN(SUBSTITUTE(C11,"_",""))))-1),C11)))&amp;"/"&amp;C11)</f>
        <v/>
      </c>
      <c r="I11" s="3" t="inlineStr">
        <is>
          <t>2 дня</t>
        </is>
      </c>
      <c r="J11" s="4" t="inlineStr">
        <is>
          <t>Adventure_template / Adventure_3_Sport_9</t>
        </is>
      </c>
      <c r="K11" s="3" t="n"/>
      <c r="L11" s="13" t="n"/>
      <c r="M11" s="14" t="n"/>
    </row>
    <row r="12" ht="30" customHeight="1">
      <c r="A12" s="1" t="n">
        <v>11</v>
      </c>
      <c r="B12" s="1" t="n"/>
      <c r="C12" s="2" t="inlineStr">
        <is>
          <t>Adventure_4_11</t>
        </is>
      </c>
      <c r="D12" s="2">
        <f>IF(C12="","",IFERROR(LEFT(C12,FIND("~",SUBSTITUTE(C12,"_","~",LEN(C12)-LEN(SUBSTITUTE(C12,"_",""))))-1),C12))</f>
        <v/>
      </c>
      <c r="E12" s="2" t="inlineStr">
        <is>
          <t>Adventure_GR_4</t>
        </is>
      </c>
      <c r="F12" s="2" t="inlineStr">
        <is>
          <t>Снежная королева</t>
        </is>
      </c>
      <c r="G12" s="2" t="inlineStr">
        <is>
          <t>Сказочные приключения</t>
        </is>
      </c>
      <c r="H12" s="3">
        <f>IF(C12="","","стандартные пути Adventure/"&amp;(IF(C12="","",IFERROR(LEFT(C12,FIND("~",SUBSTITUTE(C12,"_","~",LEN(C12)-LEN(SUBSTITUTE(C12,"_",""))))-1),C12)))&amp;"/"&amp;C12)</f>
        <v/>
      </c>
      <c r="I12" s="3" t="inlineStr">
        <is>
          <t>2 дня</t>
        </is>
      </c>
      <c r="J12" s="4" t="inlineStr">
        <is>
          <t>Adventure_template / Adventure_3_Sport_9</t>
        </is>
      </c>
      <c r="K12" s="3" t="n"/>
      <c r="L12" s="13" t="n"/>
      <c r="M12" s="14" t="n"/>
    </row>
    <row r="13" ht="30" customHeight="1">
      <c r="A13" s="1" t="n">
        <v>12</v>
      </c>
      <c r="B13" s="1" t="n"/>
      <c r="C13" s="2" t="inlineStr">
        <is>
          <t>Adventure_4_12</t>
        </is>
      </c>
      <c r="D13" s="2">
        <f>IF(C13="","",IFERROR(LEFT(C13,FIND("~",SUBSTITUTE(C13,"_","~",LEN(C13)-LEN(SUBSTITUTE(C13,"_",""))))-1),C13))</f>
        <v/>
      </c>
      <c r="E13" s="2" t="inlineStr">
        <is>
          <t>Adventure_GR_4</t>
        </is>
      </c>
      <c r="F13" s="2" t="inlineStr">
        <is>
          <t>Зайчушкина избушка</t>
        </is>
      </c>
      <c r="G13" s="2" t="inlineStr">
        <is>
          <t>Сказочные приключения</t>
        </is>
      </c>
      <c r="H13" s="3">
        <f>IF(C13="","","стандартные пути Adventure/"&amp;(IF(C13="","",IFERROR(LEFT(C13,FIND("~",SUBSTITUTE(C13,"_","~",LEN(C13)-LEN(SUBSTITUTE(C13,"_",""))))-1),C13)))&amp;"/"&amp;C13)</f>
        <v/>
      </c>
      <c r="I13" s="3" t="inlineStr">
        <is>
          <t>2 дня</t>
        </is>
      </c>
      <c r="J13" s="4" t="inlineStr">
        <is>
          <t>Adventure_template / Adventure_3_Sport_9</t>
        </is>
      </c>
      <c r="K13" s="3" t="n"/>
      <c r="L13" s="13" t="n"/>
      <c r="M13" s="14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 ht="47.25" customHeight="1">
      <c r="A16" s="7" t="inlineStr">
        <is>
          <t>Пояснения к 01_Паки</t>
        </is>
      </c>
      <c r="B16" s="8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 ht="45" customHeight="1">
      <c r="A17" s="9" t="inlineStr">
        <is>
          <t>new_prefix</t>
        </is>
      </c>
      <c r="B17" s="10" t="inlineStr">
        <is>
          <t>Главный classname нового набора. Заполняется вручную и протягивается в производные поля.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</row>
    <row r="18" ht="60" customHeight="1">
      <c r="A18" s="9" t="inlineStr">
        <is>
          <t>event_folder</t>
        </is>
      </c>
      <c r="B18" s="10" t="inlineStr">
        <is>
          <t>Формула из new_prefix: Adventure_4_1 -&gt; Adventure_4. Руками обычно не трогать.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 ht="45" customHeight="1">
      <c r="A19" s="9" t="inlineStr">
        <is>
          <t>main_resource</t>
        </is>
      </c>
      <c r="B19" s="10" t="inlineStr">
        <is>
          <t>Ресурс прогресса, который игрок копит в Adventure. Заполняется вручную.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 ht="45" customHeight="1">
      <c r="A20" s="9" t="inlineStr">
        <is>
          <t>event_title_ru</t>
        </is>
      </c>
      <c r="B20" s="10" t="inlineStr">
        <is>
          <t>Видимое название события или rewards quest. Заполняется вручную.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 ht="45" customHeight="1">
      <c r="A21" s="9" t="inlineStr">
        <is>
          <t>quest_group_title</t>
        </is>
      </c>
      <c r="B21" s="10" t="inlineStr">
        <is>
          <t>Title quest_group. Заполняется вручную один раз на этой странице.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</row>
    <row r="22" ht="30" customHeight="1">
      <c r="A22" s="9" t="inlineStr">
        <is>
          <t>output_root_hint</t>
        </is>
      </c>
      <c r="B22" s="10" t="inlineStr">
        <is>
          <t>Формула-подсказка по путям из new_prefix/event_folder.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 ht="45" customHeight="1">
      <c r="A23" s="9" t="inlineStr">
        <is>
          <t>duration_text</t>
        </is>
      </c>
      <c r="B23" s="10" t="inlineStr">
        <is>
          <t>Текстовая длительность для rule window: 2 дня, 3 дня и т.п.</t>
        </is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</row>
    <row r="24" ht="30" customHeight="1">
      <c r="A24" s="9" t="inlineStr">
        <is>
          <t>source_reference</t>
        </is>
      </c>
      <c r="B24" s="10" t="inlineStr">
        <is>
          <t>Донор/шаблон, от которого собран бриф.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t="inlineStr">
        <is>
          <t>Последний id proto</t>
        </is>
      </c>
      <c r="B25" t="inlineStr">
        <is>
          <t>Последний занятый числовой proto id. В выходных таблицах первый новый будет +1.</t>
        </is>
      </c>
    </row>
    <row r="26">
      <c r="A26" t="inlineStr">
        <is>
          <t>Последний id task</t>
        </is>
      </c>
      <c r="B26" t="inlineStr">
        <is>
          <t>Последний занятый task identifier, например e8697. В tasks первый новый будет e8698.</t>
        </is>
      </c>
    </row>
  </sheetData>
  <autoFilter ref="A1:M26"/>
  <dataValidations count="1">
    <dataValidation sqref="B2:B13" showDropDown="0" showInputMessage="0" showErrorMessage="0" allowBlank="1" type="list">
      <formula1>"заполнить,готово для генерации,сгенерировано,проверено,не используется"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3"/>
  <sheetViews>
    <sheetView showGridLines="0" workbookViewId="0">
      <pane ySplit="1" topLeftCell="A2" activePane="bottomLeft" state="frozen"/>
      <selection pane="bottomLeft" activeCell="K7" sqref="K7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24" customWidth="1" min="5" max="5"/>
    <col width="48" customWidth="1" min="6" max="6"/>
  </cols>
  <sheetData>
    <row r="1" ht="33.95" customHeight="1">
      <c r="A1" s="11" t="inlineStr">
        <is>
          <t>pack_no</t>
        </is>
      </c>
      <c r="B1" s="11" t="inlineStr">
        <is>
          <t>enabled</t>
        </is>
      </c>
      <c r="C1" s="11" t="inlineStr">
        <is>
          <t>find</t>
        </is>
      </c>
      <c r="D1" s="11" t="inlineStr">
        <is>
          <t>replace</t>
        </is>
      </c>
      <c r="E1" s="11" t="inlineStr">
        <is>
          <t>scope</t>
        </is>
      </c>
      <c r="F1" s="11" t="inlineStr">
        <is>
          <t>why / notes</t>
        </is>
      </c>
    </row>
    <row r="2" ht="30" customHeight="1">
      <c r="A2" s="3" t="n">
        <v>1</v>
      </c>
      <c r="B2" s="3" t="inlineStr">
        <is>
          <t>да</t>
        </is>
      </c>
      <c r="C2" s="2" t="inlineStr">
        <is>
          <t>Adventure_3_Sport_9</t>
        </is>
      </c>
      <c r="D2" s="2">
        <f>'01_Паки'!C2</f>
        <v/>
      </c>
      <c r="E2" s="3" t="inlineStr">
        <is>
          <t>all</t>
        </is>
      </c>
      <c r="F2" s="1" t="inlineStr">
        <is>
          <t>Главный prefix/classname набора</t>
        </is>
      </c>
    </row>
    <row r="3">
      <c r="A3" s="3" t="n">
        <v>1</v>
      </c>
      <c r="B3" s="3" t="inlineStr">
        <is>
          <t>да</t>
        </is>
      </c>
      <c r="C3" s="2" t="inlineStr">
        <is>
          <t>Adventure_3_Sport</t>
        </is>
      </c>
      <c r="D3" s="2">
        <f>'01_Паки'!D2</f>
        <v/>
      </c>
      <c r="E3" s="3" t="inlineStr">
        <is>
          <t>paths/event_frame</t>
        </is>
      </c>
      <c r="F3" s="1" t="inlineStr">
        <is>
          <t>Папка события</t>
        </is>
      </c>
    </row>
    <row r="4">
      <c r="A4" s="3" t="n">
        <v>1</v>
      </c>
      <c r="B4" s="3" t="inlineStr">
        <is>
          <t>да</t>
        </is>
      </c>
      <c r="C4" s="2" t="inlineStr">
        <is>
          <t>Adventure_GR_3</t>
        </is>
      </c>
      <c r="D4" s="2">
        <f>'01_Паки'!E2</f>
        <v/>
      </c>
      <c r="E4" s="3" t="inlineStr">
        <is>
          <t>quest/rewards</t>
        </is>
      </c>
      <c r="F4" s="1" t="inlineStr">
        <is>
          <t>Главный ресурс прогресса</t>
        </is>
      </c>
    </row>
    <row r="5" ht="30" customHeight="1">
      <c r="A5" s="3" t="n">
        <v>1</v>
      </c>
      <c r="B5" s="3" t="inlineStr">
        <is>
          <t>да</t>
        </is>
      </c>
      <c r="C5" s="3" t="inlineStr">
        <is>
          <t>Pet17_Sport_9</t>
        </is>
      </c>
      <c r="D5" s="3">
        <f>"Pet17_"&amp;'01_Паки'!C2</f>
        <v/>
      </c>
      <c r="E5" s="3" t="inlineStr">
        <is>
          <t>pet/reward strings</t>
        </is>
      </c>
      <c r="F5" s="3" t="inlineStr">
        <is>
          <t>Pet classname из new_prefix</t>
        </is>
      </c>
    </row>
    <row r="6">
      <c r="A6" s="3" t="n">
        <v>1</v>
      </c>
      <c r="B6" s="3" t="inlineStr">
        <is>
          <t>да</t>
        </is>
      </c>
      <c r="C6" s="3" t="inlineStr">
        <is>
          <t>TrophyPet17_Sport_9</t>
        </is>
      </c>
      <c r="D6" s="3">
        <f>"TrophyPet17_"&amp;'01_Паки'!C2</f>
        <v/>
      </c>
      <c r="E6" s="3" t="inlineStr">
        <is>
          <t>collection_item/trophy</t>
        </is>
      </c>
      <c r="F6" s="3" t="inlineStr">
        <is>
          <t>Trophy classname из new_prefix</t>
        </is>
      </c>
    </row>
    <row r="7" ht="30" customHeight="1">
      <c r="A7" s="3" t="n">
        <v>1</v>
      </c>
      <c r="B7" s="3" t="inlineStr">
        <is>
          <t>нет</t>
        </is>
      </c>
      <c r="C7" s="3" t="n"/>
      <c r="D7" s="3" t="n"/>
      <c r="E7" s="3" t="inlineStr">
        <is>
          <t>extra</t>
        </is>
      </c>
      <c r="F7" s="3" t="inlineStr">
        <is>
          <t>Дополнительная замена, если всплывёт общий classname</t>
        </is>
      </c>
    </row>
    <row r="8">
      <c r="A8" s="3" t="n">
        <v>2</v>
      </c>
      <c r="B8" s="3" t="inlineStr">
        <is>
          <t>да</t>
        </is>
      </c>
      <c r="C8" s="2" t="inlineStr">
        <is>
          <t>Adventure_3_Sport_9</t>
        </is>
      </c>
      <c r="D8" s="2">
        <f>'01_Паки'!C3</f>
        <v/>
      </c>
      <c r="E8" s="3" t="inlineStr">
        <is>
          <t>all</t>
        </is>
      </c>
      <c r="F8" s="1" t="inlineStr">
        <is>
          <t>Главный prefix/classname набора</t>
        </is>
      </c>
    </row>
    <row r="9">
      <c r="A9" s="3" t="n">
        <v>2</v>
      </c>
      <c r="B9" s="3" t="inlineStr">
        <is>
          <t>да</t>
        </is>
      </c>
      <c r="C9" s="2" t="inlineStr">
        <is>
          <t>Adventure_3_Sport</t>
        </is>
      </c>
      <c r="D9" s="2">
        <f>'01_Паки'!D3</f>
        <v/>
      </c>
      <c r="E9" s="3" t="inlineStr">
        <is>
          <t>paths/event_frame</t>
        </is>
      </c>
      <c r="F9" s="1" t="inlineStr">
        <is>
          <t>Папка события</t>
        </is>
      </c>
    </row>
    <row r="10">
      <c r="A10" s="3" t="n">
        <v>2</v>
      </c>
      <c r="B10" s="3" t="inlineStr">
        <is>
          <t>да</t>
        </is>
      </c>
      <c r="C10" s="2" t="inlineStr">
        <is>
          <t>Adventure_GR_3</t>
        </is>
      </c>
      <c r="D10" s="2">
        <f>'01_Паки'!E3</f>
        <v/>
      </c>
      <c r="E10" s="3" t="inlineStr">
        <is>
          <t>quest/rewards</t>
        </is>
      </c>
      <c r="F10" s="1" t="inlineStr">
        <is>
          <t>Главный ресурс прогресса</t>
        </is>
      </c>
    </row>
    <row r="11" ht="30" customHeight="1">
      <c r="A11" s="3" t="n">
        <v>2</v>
      </c>
      <c r="B11" s="3" t="inlineStr">
        <is>
          <t>да</t>
        </is>
      </c>
      <c r="C11" s="3" t="inlineStr">
        <is>
          <t>Pet17_Sport_9</t>
        </is>
      </c>
      <c r="D11" s="3">
        <f>"Pet17_"&amp;'01_Паки'!C3</f>
        <v/>
      </c>
      <c r="E11" s="3" t="inlineStr">
        <is>
          <t>pet/reward strings</t>
        </is>
      </c>
      <c r="F11" s="3" t="inlineStr">
        <is>
          <t>Pet classname из new_prefix</t>
        </is>
      </c>
    </row>
    <row r="12">
      <c r="A12" s="3" t="n">
        <v>2</v>
      </c>
      <c r="B12" s="3" t="inlineStr">
        <is>
          <t>да</t>
        </is>
      </c>
      <c r="C12" s="3" t="inlineStr">
        <is>
          <t>TrophyPet17_Sport_9</t>
        </is>
      </c>
      <c r="D12" s="3">
        <f>"TrophyPet17_"&amp;'01_Паки'!C3</f>
        <v/>
      </c>
      <c r="E12" s="3" t="inlineStr">
        <is>
          <t>collection_item/trophy</t>
        </is>
      </c>
      <c r="F12" s="3" t="inlineStr">
        <is>
          <t>Trophy classname из new_prefix</t>
        </is>
      </c>
    </row>
    <row r="13" ht="30" customHeight="1">
      <c r="A13" s="3" t="n">
        <v>2</v>
      </c>
      <c r="B13" s="3" t="inlineStr">
        <is>
          <t>нет</t>
        </is>
      </c>
      <c r="C13" s="3" t="n"/>
      <c r="D13" s="3" t="n"/>
      <c r="E13" s="3" t="inlineStr">
        <is>
          <t>extra</t>
        </is>
      </c>
      <c r="F13" s="3" t="inlineStr">
        <is>
          <t>Дополнительная замена, если всплывёт общий classname</t>
        </is>
      </c>
    </row>
    <row r="14">
      <c r="A14" s="3" t="n">
        <v>3</v>
      </c>
      <c r="B14" s="3" t="inlineStr">
        <is>
          <t>да</t>
        </is>
      </c>
      <c r="C14" s="2" t="inlineStr">
        <is>
          <t>Adventure_3_Sport_9</t>
        </is>
      </c>
      <c r="D14" s="2">
        <f>'01_Паки'!C4</f>
        <v/>
      </c>
      <c r="E14" s="3" t="inlineStr">
        <is>
          <t>all</t>
        </is>
      </c>
      <c r="F14" s="1" t="inlineStr">
        <is>
          <t>Главный prefix/classname набора</t>
        </is>
      </c>
    </row>
    <row r="15">
      <c r="A15" s="3" t="n">
        <v>3</v>
      </c>
      <c r="B15" s="3" t="inlineStr">
        <is>
          <t>да</t>
        </is>
      </c>
      <c r="C15" s="2" t="inlineStr">
        <is>
          <t>Adventure_3_Sport</t>
        </is>
      </c>
      <c r="D15" s="2">
        <f>'01_Паки'!D4</f>
        <v/>
      </c>
      <c r="E15" s="3" t="inlineStr">
        <is>
          <t>paths/event_frame</t>
        </is>
      </c>
      <c r="F15" s="1" t="inlineStr">
        <is>
          <t>Папка события</t>
        </is>
      </c>
    </row>
    <row r="16">
      <c r="A16" s="3" t="n">
        <v>3</v>
      </c>
      <c r="B16" s="3" t="inlineStr">
        <is>
          <t>да</t>
        </is>
      </c>
      <c r="C16" s="2" t="inlineStr">
        <is>
          <t>Adventure_GR_3</t>
        </is>
      </c>
      <c r="D16" s="2">
        <f>'01_Паки'!E4</f>
        <v/>
      </c>
      <c r="E16" s="3" t="inlineStr">
        <is>
          <t>quest/rewards</t>
        </is>
      </c>
      <c r="F16" s="1" t="inlineStr">
        <is>
          <t>Главный ресурс прогресса</t>
        </is>
      </c>
    </row>
    <row r="17" ht="30" customHeight="1">
      <c r="A17" s="3" t="n">
        <v>3</v>
      </c>
      <c r="B17" s="3" t="inlineStr">
        <is>
          <t>да</t>
        </is>
      </c>
      <c r="C17" s="3" t="inlineStr">
        <is>
          <t>Pet17_Sport_9</t>
        </is>
      </c>
      <c r="D17" s="3">
        <f>"Pet17_"&amp;'01_Паки'!C4</f>
        <v/>
      </c>
      <c r="E17" s="3" t="inlineStr">
        <is>
          <t>pet/reward strings</t>
        </is>
      </c>
      <c r="F17" s="3" t="inlineStr">
        <is>
          <t>Pet classname из new_prefix</t>
        </is>
      </c>
    </row>
    <row r="18">
      <c r="A18" s="3" t="n">
        <v>3</v>
      </c>
      <c r="B18" s="3" t="inlineStr">
        <is>
          <t>да</t>
        </is>
      </c>
      <c r="C18" s="3" t="inlineStr">
        <is>
          <t>TrophyPet17_Sport_9</t>
        </is>
      </c>
      <c r="D18" s="3">
        <f>"TrophyPet17_"&amp;'01_Паки'!C4</f>
        <v/>
      </c>
      <c r="E18" s="3" t="inlineStr">
        <is>
          <t>collection_item/trophy</t>
        </is>
      </c>
      <c r="F18" s="3" t="inlineStr">
        <is>
          <t>Trophy classname из new_prefix</t>
        </is>
      </c>
    </row>
    <row r="19" ht="30" customHeight="1">
      <c r="A19" s="3" t="n">
        <v>3</v>
      </c>
      <c r="B19" s="3" t="inlineStr">
        <is>
          <t>нет</t>
        </is>
      </c>
      <c r="C19" s="3" t="n"/>
      <c r="D19" s="3" t="n"/>
      <c r="E19" s="3" t="inlineStr">
        <is>
          <t>extra</t>
        </is>
      </c>
      <c r="F19" s="3" t="inlineStr">
        <is>
          <t>Дополнительная замена, если всплывёт общий classname</t>
        </is>
      </c>
    </row>
    <row r="20">
      <c r="A20" s="3" t="n">
        <v>4</v>
      </c>
      <c r="B20" s="3" t="inlineStr">
        <is>
          <t>да</t>
        </is>
      </c>
      <c r="C20" s="2" t="inlineStr">
        <is>
          <t>Adventure_3_Sport_9</t>
        </is>
      </c>
      <c r="D20" s="2">
        <f>'01_Паки'!C5</f>
        <v/>
      </c>
      <c r="E20" s="3" t="inlineStr">
        <is>
          <t>all</t>
        </is>
      </c>
      <c r="F20" s="1" t="inlineStr">
        <is>
          <t>Главный prefix/classname набора</t>
        </is>
      </c>
    </row>
    <row r="21">
      <c r="A21" s="3" t="n">
        <v>4</v>
      </c>
      <c r="B21" s="3" t="inlineStr">
        <is>
          <t>да</t>
        </is>
      </c>
      <c r="C21" s="2" t="inlineStr">
        <is>
          <t>Adventure_3_Sport</t>
        </is>
      </c>
      <c r="D21" s="2">
        <f>'01_Паки'!D5</f>
        <v/>
      </c>
      <c r="E21" s="3" t="inlineStr">
        <is>
          <t>paths/event_frame</t>
        </is>
      </c>
      <c r="F21" s="1" t="inlineStr">
        <is>
          <t>Папка события</t>
        </is>
      </c>
    </row>
    <row r="22">
      <c r="A22" s="3" t="n">
        <v>4</v>
      </c>
      <c r="B22" s="3" t="inlineStr">
        <is>
          <t>да</t>
        </is>
      </c>
      <c r="C22" s="2" t="inlineStr">
        <is>
          <t>Adventure_GR_3</t>
        </is>
      </c>
      <c r="D22" s="2">
        <f>'01_Паки'!E5</f>
        <v/>
      </c>
      <c r="E22" s="3" t="inlineStr">
        <is>
          <t>quest/rewards</t>
        </is>
      </c>
      <c r="F22" s="1" t="inlineStr">
        <is>
          <t>Главный ресурс прогресса</t>
        </is>
      </c>
    </row>
    <row r="23" ht="30" customHeight="1">
      <c r="A23" s="3" t="n">
        <v>4</v>
      </c>
      <c r="B23" s="3" t="inlineStr">
        <is>
          <t>да</t>
        </is>
      </c>
      <c r="C23" s="3" t="inlineStr">
        <is>
          <t>Pet17_Sport_9</t>
        </is>
      </c>
      <c r="D23" s="3">
        <f>"Pet17_"&amp;'01_Паки'!C5</f>
        <v/>
      </c>
      <c r="E23" s="3" t="inlineStr">
        <is>
          <t>pet/reward strings</t>
        </is>
      </c>
      <c r="F23" s="3" t="inlineStr">
        <is>
          <t>Pet classname из new_prefix</t>
        </is>
      </c>
    </row>
    <row r="24">
      <c r="A24" s="3" t="n">
        <v>4</v>
      </c>
      <c r="B24" s="3" t="inlineStr">
        <is>
          <t>да</t>
        </is>
      </c>
      <c r="C24" s="3" t="inlineStr">
        <is>
          <t>TrophyPet17_Sport_9</t>
        </is>
      </c>
      <c r="D24" s="3">
        <f>"TrophyPet17_"&amp;'01_Паки'!C5</f>
        <v/>
      </c>
      <c r="E24" s="3" t="inlineStr">
        <is>
          <t>collection_item/trophy</t>
        </is>
      </c>
      <c r="F24" s="3" t="inlineStr">
        <is>
          <t>Trophy classname из new_prefix</t>
        </is>
      </c>
    </row>
    <row r="25" ht="30" customHeight="1">
      <c r="A25" s="3" t="n">
        <v>4</v>
      </c>
      <c r="B25" s="3" t="inlineStr">
        <is>
          <t>нет</t>
        </is>
      </c>
      <c r="C25" s="3" t="n"/>
      <c r="D25" s="3" t="n"/>
      <c r="E25" s="3" t="inlineStr">
        <is>
          <t>extra</t>
        </is>
      </c>
      <c r="F25" s="3" t="inlineStr">
        <is>
          <t>Дополнительная замена, если всплывёт общий classname</t>
        </is>
      </c>
    </row>
    <row r="26">
      <c r="A26" s="3" t="n">
        <v>5</v>
      </c>
      <c r="B26" s="3" t="inlineStr">
        <is>
          <t>да</t>
        </is>
      </c>
      <c r="C26" s="2" t="inlineStr">
        <is>
          <t>Adventure_3_Sport_9</t>
        </is>
      </c>
      <c r="D26" s="2">
        <f>'01_Паки'!C6</f>
        <v/>
      </c>
      <c r="E26" s="3" t="inlineStr">
        <is>
          <t>all</t>
        </is>
      </c>
      <c r="F26" s="1" t="inlineStr">
        <is>
          <t>Главный prefix/classname набора</t>
        </is>
      </c>
    </row>
    <row r="27">
      <c r="A27" s="3" t="n">
        <v>5</v>
      </c>
      <c r="B27" s="3" t="inlineStr">
        <is>
          <t>да</t>
        </is>
      </c>
      <c r="C27" s="2" t="inlineStr">
        <is>
          <t>Adventure_3_Sport</t>
        </is>
      </c>
      <c r="D27" s="2">
        <f>'01_Паки'!D6</f>
        <v/>
      </c>
      <c r="E27" s="3" t="inlineStr">
        <is>
          <t>paths/event_frame</t>
        </is>
      </c>
      <c r="F27" s="1" t="inlineStr">
        <is>
          <t>Папка события</t>
        </is>
      </c>
    </row>
    <row r="28">
      <c r="A28" s="3" t="n">
        <v>5</v>
      </c>
      <c r="B28" s="3" t="inlineStr">
        <is>
          <t>да</t>
        </is>
      </c>
      <c r="C28" s="2" t="inlineStr">
        <is>
          <t>Adventure_GR_3</t>
        </is>
      </c>
      <c r="D28" s="2">
        <f>'01_Паки'!E6</f>
        <v/>
      </c>
      <c r="E28" s="3" t="inlineStr">
        <is>
          <t>quest/rewards</t>
        </is>
      </c>
      <c r="F28" s="1" t="inlineStr">
        <is>
          <t>Главный ресурс прогресса</t>
        </is>
      </c>
    </row>
    <row r="29" ht="30" customHeight="1">
      <c r="A29" s="3" t="n">
        <v>5</v>
      </c>
      <c r="B29" s="3" t="inlineStr">
        <is>
          <t>да</t>
        </is>
      </c>
      <c r="C29" s="3" t="inlineStr">
        <is>
          <t>Pet17_Sport_9</t>
        </is>
      </c>
      <c r="D29" s="3">
        <f>"Pet17_"&amp;'01_Паки'!C6</f>
        <v/>
      </c>
      <c r="E29" s="3" t="inlineStr">
        <is>
          <t>pet/reward strings</t>
        </is>
      </c>
      <c r="F29" s="3" t="inlineStr">
        <is>
          <t>Pet classname из new_prefix</t>
        </is>
      </c>
    </row>
    <row r="30">
      <c r="A30" s="3" t="n">
        <v>5</v>
      </c>
      <c r="B30" s="3" t="inlineStr">
        <is>
          <t>да</t>
        </is>
      </c>
      <c r="C30" s="3" t="inlineStr">
        <is>
          <t>TrophyPet17_Sport_9</t>
        </is>
      </c>
      <c r="D30" s="3">
        <f>"TrophyPet17_"&amp;'01_Паки'!C6</f>
        <v/>
      </c>
      <c r="E30" s="3" t="inlineStr">
        <is>
          <t>collection_item/trophy</t>
        </is>
      </c>
      <c r="F30" s="3" t="inlineStr">
        <is>
          <t>Trophy classname из new_prefix</t>
        </is>
      </c>
    </row>
    <row r="31" ht="30" customHeight="1">
      <c r="A31" s="3" t="n">
        <v>5</v>
      </c>
      <c r="B31" s="3" t="inlineStr">
        <is>
          <t>нет</t>
        </is>
      </c>
      <c r="C31" s="3" t="n"/>
      <c r="D31" s="3" t="n"/>
      <c r="E31" s="3" t="inlineStr">
        <is>
          <t>extra</t>
        </is>
      </c>
      <c r="F31" s="3" t="inlineStr">
        <is>
          <t>Дополнительная замена, если всплывёт общий classname</t>
        </is>
      </c>
    </row>
    <row r="32">
      <c r="A32" s="3" t="n">
        <v>6</v>
      </c>
      <c r="B32" s="3" t="inlineStr">
        <is>
          <t>да</t>
        </is>
      </c>
      <c r="C32" s="2" t="inlineStr">
        <is>
          <t>Adventure_3_Sport_9</t>
        </is>
      </c>
      <c r="D32" s="2">
        <f>'01_Паки'!C7</f>
        <v/>
      </c>
      <c r="E32" s="3" t="inlineStr">
        <is>
          <t>all</t>
        </is>
      </c>
      <c r="F32" s="1" t="inlineStr">
        <is>
          <t>Главный prefix/classname набора</t>
        </is>
      </c>
    </row>
    <row r="33">
      <c r="A33" s="3" t="n">
        <v>6</v>
      </c>
      <c r="B33" s="3" t="inlineStr">
        <is>
          <t>да</t>
        </is>
      </c>
      <c r="C33" s="2" t="inlineStr">
        <is>
          <t>Adventure_3_Sport</t>
        </is>
      </c>
      <c r="D33" s="2">
        <f>'01_Паки'!D7</f>
        <v/>
      </c>
      <c r="E33" s="3" t="inlineStr">
        <is>
          <t>paths/event_frame</t>
        </is>
      </c>
      <c r="F33" s="1" t="inlineStr">
        <is>
          <t>Папка события</t>
        </is>
      </c>
    </row>
    <row r="34">
      <c r="A34" s="3" t="n">
        <v>6</v>
      </c>
      <c r="B34" s="3" t="inlineStr">
        <is>
          <t>да</t>
        </is>
      </c>
      <c r="C34" s="2" t="inlineStr">
        <is>
          <t>Adventure_GR_3</t>
        </is>
      </c>
      <c r="D34" s="2">
        <f>'01_Паки'!E7</f>
        <v/>
      </c>
      <c r="E34" s="3" t="inlineStr">
        <is>
          <t>quest/rewards</t>
        </is>
      </c>
      <c r="F34" s="1" t="inlineStr">
        <is>
          <t>Главный ресурс прогресса</t>
        </is>
      </c>
    </row>
    <row r="35" ht="30" customHeight="1">
      <c r="A35" s="3" t="n">
        <v>6</v>
      </c>
      <c r="B35" s="3" t="inlineStr">
        <is>
          <t>да</t>
        </is>
      </c>
      <c r="C35" s="3" t="inlineStr">
        <is>
          <t>Pet17_Sport_9</t>
        </is>
      </c>
      <c r="D35" s="3">
        <f>"Pet17_"&amp;'01_Паки'!C7</f>
        <v/>
      </c>
      <c r="E35" s="3" t="inlineStr">
        <is>
          <t>pet/reward strings</t>
        </is>
      </c>
      <c r="F35" s="3" t="inlineStr">
        <is>
          <t>Pet classname из new_prefix</t>
        </is>
      </c>
    </row>
    <row r="36">
      <c r="A36" s="3" t="n">
        <v>6</v>
      </c>
      <c r="B36" s="3" t="inlineStr">
        <is>
          <t>да</t>
        </is>
      </c>
      <c r="C36" s="3" t="inlineStr">
        <is>
          <t>TrophyPet17_Sport_9</t>
        </is>
      </c>
      <c r="D36" s="3">
        <f>"TrophyPet17_"&amp;'01_Паки'!C7</f>
        <v/>
      </c>
      <c r="E36" s="3" t="inlineStr">
        <is>
          <t>collection_item/trophy</t>
        </is>
      </c>
      <c r="F36" s="3" t="inlineStr">
        <is>
          <t>Trophy classname из new_prefix</t>
        </is>
      </c>
    </row>
    <row r="37" ht="30" customHeight="1">
      <c r="A37" s="3" t="n">
        <v>6</v>
      </c>
      <c r="B37" s="3" t="inlineStr">
        <is>
          <t>нет</t>
        </is>
      </c>
      <c r="C37" s="3" t="n"/>
      <c r="D37" s="3" t="n"/>
      <c r="E37" s="3" t="inlineStr">
        <is>
          <t>extra</t>
        </is>
      </c>
      <c r="F37" s="3" t="inlineStr">
        <is>
          <t>Дополнительная замена, если всплывёт общий classname</t>
        </is>
      </c>
    </row>
    <row r="38">
      <c r="A38" s="3" t="n">
        <v>7</v>
      </c>
      <c r="B38" s="3" t="inlineStr">
        <is>
          <t>да</t>
        </is>
      </c>
      <c r="C38" s="2" t="inlineStr">
        <is>
          <t>Adventure_3_Sport_9</t>
        </is>
      </c>
      <c r="D38" s="2">
        <f>'01_Паки'!C8</f>
        <v/>
      </c>
      <c r="E38" s="3" t="inlineStr">
        <is>
          <t>all</t>
        </is>
      </c>
      <c r="F38" s="1" t="inlineStr">
        <is>
          <t>Главный prefix/classname набора</t>
        </is>
      </c>
    </row>
    <row r="39">
      <c r="A39" s="3" t="n">
        <v>7</v>
      </c>
      <c r="B39" s="3" t="inlineStr">
        <is>
          <t>да</t>
        </is>
      </c>
      <c r="C39" s="2" t="inlineStr">
        <is>
          <t>Adventure_3_Sport</t>
        </is>
      </c>
      <c r="D39" s="2">
        <f>'01_Паки'!D8</f>
        <v/>
      </c>
      <c r="E39" s="3" t="inlineStr">
        <is>
          <t>paths/event_frame</t>
        </is>
      </c>
      <c r="F39" s="1" t="inlineStr">
        <is>
          <t>Папка события</t>
        </is>
      </c>
    </row>
    <row r="40">
      <c r="A40" s="3" t="n">
        <v>7</v>
      </c>
      <c r="B40" s="3" t="inlineStr">
        <is>
          <t>да</t>
        </is>
      </c>
      <c r="C40" s="2" t="inlineStr">
        <is>
          <t>Adventure_GR_3</t>
        </is>
      </c>
      <c r="D40" s="2">
        <f>'01_Паки'!E8</f>
        <v/>
      </c>
      <c r="E40" s="3" t="inlineStr">
        <is>
          <t>quest/rewards</t>
        </is>
      </c>
      <c r="F40" s="1" t="inlineStr">
        <is>
          <t>Главный ресурс прогресса</t>
        </is>
      </c>
    </row>
    <row r="41" ht="30" customHeight="1">
      <c r="A41" s="3" t="n">
        <v>7</v>
      </c>
      <c r="B41" s="3" t="inlineStr">
        <is>
          <t>да</t>
        </is>
      </c>
      <c r="C41" s="3" t="inlineStr">
        <is>
          <t>Pet17_Sport_9</t>
        </is>
      </c>
      <c r="D41" s="3">
        <f>"Pet17_"&amp;'01_Паки'!C8</f>
        <v/>
      </c>
      <c r="E41" s="3" t="inlineStr">
        <is>
          <t>pet/reward strings</t>
        </is>
      </c>
      <c r="F41" s="3" t="inlineStr">
        <is>
          <t>Pet classname из new_prefix</t>
        </is>
      </c>
    </row>
    <row r="42">
      <c r="A42" s="3" t="n">
        <v>7</v>
      </c>
      <c r="B42" s="3" t="inlineStr">
        <is>
          <t>да</t>
        </is>
      </c>
      <c r="C42" s="3" t="inlineStr">
        <is>
          <t>TrophyPet17_Sport_9</t>
        </is>
      </c>
      <c r="D42" s="3">
        <f>"TrophyPet17_"&amp;'01_Паки'!C8</f>
        <v/>
      </c>
      <c r="E42" s="3" t="inlineStr">
        <is>
          <t>collection_item/trophy</t>
        </is>
      </c>
      <c r="F42" s="3" t="inlineStr">
        <is>
          <t>Trophy classname из new_prefix</t>
        </is>
      </c>
    </row>
    <row r="43" ht="30" customHeight="1">
      <c r="A43" s="3" t="n">
        <v>7</v>
      </c>
      <c r="B43" s="3" t="inlineStr">
        <is>
          <t>нет</t>
        </is>
      </c>
      <c r="C43" s="3" t="n"/>
      <c r="D43" s="3" t="n"/>
      <c r="E43" s="3" t="inlineStr">
        <is>
          <t>extra</t>
        </is>
      </c>
      <c r="F43" s="3" t="inlineStr">
        <is>
          <t>Дополнительная замена, если всплывёт общий classname</t>
        </is>
      </c>
    </row>
    <row r="44">
      <c r="A44" s="3" t="n">
        <v>8</v>
      </c>
      <c r="B44" s="3" t="inlineStr">
        <is>
          <t>да</t>
        </is>
      </c>
      <c r="C44" s="2" t="inlineStr">
        <is>
          <t>Adventure_3_Sport_9</t>
        </is>
      </c>
      <c r="D44" s="2">
        <f>'01_Паки'!C9</f>
        <v/>
      </c>
      <c r="E44" s="3" t="inlineStr">
        <is>
          <t>all</t>
        </is>
      </c>
      <c r="F44" s="1" t="inlineStr">
        <is>
          <t>Главный prefix/classname набора</t>
        </is>
      </c>
    </row>
    <row r="45">
      <c r="A45" s="3" t="n">
        <v>8</v>
      </c>
      <c r="B45" s="3" t="inlineStr">
        <is>
          <t>да</t>
        </is>
      </c>
      <c r="C45" s="2" t="inlineStr">
        <is>
          <t>Adventure_3_Sport</t>
        </is>
      </c>
      <c r="D45" s="2">
        <f>'01_Паки'!D9</f>
        <v/>
      </c>
      <c r="E45" s="3" t="inlineStr">
        <is>
          <t>paths/event_frame</t>
        </is>
      </c>
      <c r="F45" s="1" t="inlineStr">
        <is>
          <t>Папка события</t>
        </is>
      </c>
    </row>
    <row r="46">
      <c r="A46" s="3" t="n">
        <v>8</v>
      </c>
      <c r="B46" s="3" t="inlineStr">
        <is>
          <t>да</t>
        </is>
      </c>
      <c r="C46" s="2" t="inlineStr">
        <is>
          <t>Adventure_GR_3</t>
        </is>
      </c>
      <c r="D46" s="2">
        <f>'01_Паки'!E9</f>
        <v/>
      </c>
      <c r="E46" s="3" t="inlineStr">
        <is>
          <t>quest/rewards</t>
        </is>
      </c>
      <c r="F46" s="1" t="inlineStr">
        <is>
          <t>Главный ресурс прогресса</t>
        </is>
      </c>
    </row>
    <row r="47" ht="30" customHeight="1">
      <c r="A47" s="3" t="n">
        <v>8</v>
      </c>
      <c r="B47" s="3" t="inlineStr">
        <is>
          <t>да</t>
        </is>
      </c>
      <c r="C47" s="3" t="inlineStr">
        <is>
          <t>Pet17_Sport_9</t>
        </is>
      </c>
      <c r="D47" s="3">
        <f>"Pet17_"&amp;'01_Паки'!C9</f>
        <v/>
      </c>
      <c r="E47" s="3" t="inlineStr">
        <is>
          <t>pet/reward strings</t>
        </is>
      </c>
      <c r="F47" s="3" t="inlineStr">
        <is>
          <t>Pet classname из new_prefix</t>
        </is>
      </c>
    </row>
    <row r="48">
      <c r="A48" s="3" t="n">
        <v>8</v>
      </c>
      <c r="B48" s="3" t="inlineStr">
        <is>
          <t>да</t>
        </is>
      </c>
      <c r="C48" s="3" t="inlineStr">
        <is>
          <t>TrophyPet17_Sport_9</t>
        </is>
      </c>
      <c r="D48" s="3">
        <f>"TrophyPet17_"&amp;'01_Паки'!C9</f>
        <v/>
      </c>
      <c r="E48" s="3" t="inlineStr">
        <is>
          <t>collection_item/trophy</t>
        </is>
      </c>
      <c r="F48" s="3" t="inlineStr">
        <is>
          <t>Trophy classname из new_prefix</t>
        </is>
      </c>
    </row>
    <row r="49" ht="30" customHeight="1">
      <c r="A49" s="3" t="n">
        <v>8</v>
      </c>
      <c r="B49" s="3" t="inlineStr">
        <is>
          <t>нет</t>
        </is>
      </c>
      <c r="C49" s="3" t="n"/>
      <c r="D49" s="3" t="n"/>
      <c r="E49" s="3" t="inlineStr">
        <is>
          <t>extra</t>
        </is>
      </c>
      <c r="F49" s="3" t="inlineStr">
        <is>
          <t>Дополнительная замена, если всплывёт общий classname</t>
        </is>
      </c>
    </row>
    <row r="50">
      <c r="A50" s="3" t="n">
        <v>9</v>
      </c>
      <c r="B50" s="3" t="inlineStr">
        <is>
          <t>да</t>
        </is>
      </c>
      <c r="C50" s="2" t="inlineStr">
        <is>
          <t>Adventure_3_Sport_9</t>
        </is>
      </c>
      <c r="D50" s="2">
        <f>'01_Паки'!C10</f>
        <v/>
      </c>
      <c r="E50" s="3" t="inlineStr">
        <is>
          <t>all</t>
        </is>
      </c>
      <c r="F50" s="1" t="inlineStr">
        <is>
          <t>Главный prefix/classname набора</t>
        </is>
      </c>
    </row>
    <row r="51">
      <c r="A51" s="3" t="n">
        <v>9</v>
      </c>
      <c r="B51" s="3" t="inlineStr">
        <is>
          <t>да</t>
        </is>
      </c>
      <c r="C51" s="2" t="inlineStr">
        <is>
          <t>Adventure_3_Sport</t>
        </is>
      </c>
      <c r="D51" s="2">
        <f>'01_Паки'!D10</f>
        <v/>
      </c>
      <c r="E51" s="3" t="inlineStr">
        <is>
          <t>paths/event_frame</t>
        </is>
      </c>
      <c r="F51" s="1" t="inlineStr">
        <is>
          <t>Папка события</t>
        </is>
      </c>
    </row>
    <row r="52">
      <c r="A52" s="3" t="n">
        <v>9</v>
      </c>
      <c r="B52" s="3" t="inlineStr">
        <is>
          <t>да</t>
        </is>
      </c>
      <c r="C52" s="2" t="inlineStr">
        <is>
          <t>Adventure_GR_3</t>
        </is>
      </c>
      <c r="D52" s="2">
        <f>'01_Паки'!E10</f>
        <v/>
      </c>
      <c r="E52" s="3" t="inlineStr">
        <is>
          <t>quest/rewards</t>
        </is>
      </c>
      <c r="F52" s="1" t="inlineStr">
        <is>
          <t>Главный ресурс прогресса</t>
        </is>
      </c>
    </row>
    <row r="53" ht="30" customHeight="1">
      <c r="A53" s="3" t="n">
        <v>9</v>
      </c>
      <c r="B53" s="3" t="inlineStr">
        <is>
          <t>да</t>
        </is>
      </c>
      <c r="C53" s="3" t="inlineStr">
        <is>
          <t>Pet17_Sport_9</t>
        </is>
      </c>
      <c r="D53" s="3">
        <f>"Pet17_"&amp;'01_Паки'!C10</f>
        <v/>
      </c>
      <c r="E53" s="3" t="inlineStr">
        <is>
          <t>pet/reward strings</t>
        </is>
      </c>
      <c r="F53" s="3" t="inlineStr">
        <is>
          <t>Pet classname из new_prefix</t>
        </is>
      </c>
    </row>
    <row r="54">
      <c r="A54" s="3" t="n">
        <v>9</v>
      </c>
      <c r="B54" s="3" t="inlineStr">
        <is>
          <t>да</t>
        </is>
      </c>
      <c r="C54" s="3" t="inlineStr">
        <is>
          <t>TrophyPet17_Sport_9</t>
        </is>
      </c>
      <c r="D54" s="3">
        <f>"TrophyPet17_"&amp;'01_Паки'!C10</f>
        <v/>
      </c>
      <c r="E54" s="3" t="inlineStr">
        <is>
          <t>collection_item/trophy</t>
        </is>
      </c>
      <c r="F54" s="3" t="inlineStr">
        <is>
          <t>Trophy classname из new_prefix</t>
        </is>
      </c>
    </row>
    <row r="55" ht="30" customHeight="1">
      <c r="A55" s="3" t="n">
        <v>9</v>
      </c>
      <c r="B55" s="3" t="inlineStr">
        <is>
          <t>нет</t>
        </is>
      </c>
      <c r="C55" s="3" t="n"/>
      <c r="D55" s="3" t="n"/>
      <c r="E55" s="3" t="inlineStr">
        <is>
          <t>extra</t>
        </is>
      </c>
      <c r="F55" s="3" t="inlineStr">
        <is>
          <t>Дополнительная замена, если всплывёт общий classname</t>
        </is>
      </c>
    </row>
    <row r="56">
      <c r="A56" s="3" t="n">
        <v>10</v>
      </c>
      <c r="B56" s="3" t="inlineStr">
        <is>
          <t>да</t>
        </is>
      </c>
      <c r="C56" s="2" t="inlineStr">
        <is>
          <t>Adventure_3_Sport_9</t>
        </is>
      </c>
      <c r="D56" s="2">
        <f>'01_Паки'!C11</f>
        <v/>
      </c>
      <c r="E56" s="3" t="inlineStr">
        <is>
          <t>all</t>
        </is>
      </c>
      <c r="F56" s="1" t="inlineStr">
        <is>
          <t>Главный prefix/classname набора</t>
        </is>
      </c>
    </row>
    <row r="57">
      <c r="A57" s="3" t="n">
        <v>10</v>
      </c>
      <c r="B57" s="3" t="inlineStr">
        <is>
          <t>да</t>
        </is>
      </c>
      <c r="C57" s="2" t="inlineStr">
        <is>
          <t>Adventure_3_Sport</t>
        </is>
      </c>
      <c r="D57" s="2">
        <f>'01_Паки'!D11</f>
        <v/>
      </c>
      <c r="E57" s="3" t="inlineStr">
        <is>
          <t>paths/event_frame</t>
        </is>
      </c>
      <c r="F57" s="1" t="inlineStr">
        <is>
          <t>Папка события</t>
        </is>
      </c>
    </row>
    <row r="58">
      <c r="A58" s="3" t="n">
        <v>10</v>
      </c>
      <c r="B58" s="3" t="inlineStr">
        <is>
          <t>да</t>
        </is>
      </c>
      <c r="C58" s="2" t="inlineStr">
        <is>
          <t>Adventure_GR_3</t>
        </is>
      </c>
      <c r="D58" s="2">
        <f>'01_Паки'!E11</f>
        <v/>
      </c>
      <c r="E58" s="3" t="inlineStr">
        <is>
          <t>quest/rewards</t>
        </is>
      </c>
      <c r="F58" s="1" t="inlineStr">
        <is>
          <t>Главный ресурс прогресса</t>
        </is>
      </c>
    </row>
    <row r="59" ht="30" customHeight="1">
      <c r="A59" s="3" t="n">
        <v>10</v>
      </c>
      <c r="B59" s="3" t="inlineStr">
        <is>
          <t>да</t>
        </is>
      </c>
      <c r="C59" s="3" t="inlineStr">
        <is>
          <t>Pet17_Sport_9</t>
        </is>
      </c>
      <c r="D59" s="3">
        <f>"Pet17_"&amp;'01_Паки'!C11</f>
        <v/>
      </c>
      <c r="E59" s="3" t="inlineStr">
        <is>
          <t>pet/reward strings</t>
        </is>
      </c>
      <c r="F59" s="3" t="inlineStr">
        <is>
          <t>Pet classname из new_prefix</t>
        </is>
      </c>
    </row>
    <row r="60">
      <c r="A60" s="3" t="n">
        <v>10</v>
      </c>
      <c r="B60" s="3" t="inlineStr">
        <is>
          <t>да</t>
        </is>
      </c>
      <c r="C60" s="3" t="inlineStr">
        <is>
          <t>TrophyPet17_Sport_9</t>
        </is>
      </c>
      <c r="D60" s="3">
        <f>"TrophyPet17_"&amp;'01_Паки'!C11</f>
        <v/>
      </c>
      <c r="E60" s="3" t="inlineStr">
        <is>
          <t>collection_item/trophy</t>
        </is>
      </c>
      <c r="F60" s="3" t="inlineStr">
        <is>
          <t>Trophy classname из new_prefix</t>
        </is>
      </c>
    </row>
    <row r="61" ht="30" customHeight="1">
      <c r="A61" s="3" t="n">
        <v>10</v>
      </c>
      <c r="B61" s="3" t="inlineStr">
        <is>
          <t>нет</t>
        </is>
      </c>
      <c r="C61" s="3" t="n"/>
      <c r="D61" s="3" t="n"/>
      <c r="E61" s="3" t="inlineStr">
        <is>
          <t>extra</t>
        </is>
      </c>
      <c r="F61" s="3" t="inlineStr">
        <is>
          <t>Дополнительная замена, если всплывёт общий classname</t>
        </is>
      </c>
    </row>
    <row r="62">
      <c r="A62" s="3" t="n">
        <v>11</v>
      </c>
      <c r="B62" s="3" t="inlineStr">
        <is>
          <t>да</t>
        </is>
      </c>
      <c r="C62" s="2" t="inlineStr">
        <is>
          <t>Adventure_3_Sport_9</t>
        </is>
      </c>
      <c r="D62" s="2">
        <f>'01_Паки'!C12</f>
        <v/>
      </c>
      <c r="E62" s="3" t="inlineStr">
        <is>
          <t>all</t>
        </is>
      </c>
      <c r="F62" s="1" t="inlineStr">
        <is>
          <t>Главный prefix/classname набора</t>
        </is>
      </c>
    </row>
    <row r="63">
      <c r="A63" s="3" t="n">
        <v>11</v>
      </c>
      <c r="B63" s="3" t="inlineStr">
        <is>
          <t>да</t>
        </is>
      </c>
      <c r="C63" s="2" t="inlineStr">
        <is>
          <t>Adventure_3_Sport</t>
        </is>
      </c>
      <c r="D63" s="2">
        <f>'01_Паки'!D12</f>
        <v/>
      </c>
      <c r="E63" s="3" t="inlineStr">
        <is>
          <t>paths/event_frame</t>
        </is>
      </c>
      <c r="F63" s="1" t="inlineStr">
        <is>
          <t>Папка события</t>
        </is>
      </c>
    </row>
    <row r="64">
      <c r="A64" s="3" t="n">
        <v>11</v>
      </c>
      <c r="B64" s="3" t="inlineStr">
        <is>
          <t>да</t>
        </is>
      </c>
      <c r="C64" s="2" t="inlineStr">
        <is>
          <t>Adventure_GR_3</t>
        </is>
      </c>
      <c r="D64" s="2">
        <f>'01_Паки'!E12</f>
        <v/>
      </c>
      <c r="E64" s="3" t="inlineStr">
        <is>
          <t>quest/rewards</t>
        </is>
      </c>
      <c r="F64" s="1" t="inlineStr">
        <is>
          <t>Главный ресурс прогресса</t>
        </is>
      </c>
    </row>
    <row r="65" ht="30" customHeight="1">
      <c r="A65" s="3" t="n">
        <v>11</v>
      </c>
      <c r="B65" s="3" t="inlineStr">
        <is>
          <t>да</t>
        </is>
      </c>
      <c r="C65" s="3" t="inlineStr">
        <is>
          <t>Pet17_Sport_9</t>
        </is>
      </c>
      <c r="D65" s="3">
        <f>"Pet17_"&amp;'01_Паки'!C12</f>
        <v/>
      </c>
      <c r="E65" s="3" t="inlineStr">
        <is>
          <t>pet/reward strings</t>
        </is>
      </c>
      <c r="F65" s="3" t="inlineStr">
        <is>
          <t>Pet classname из new_prefix</t>
        </is>
      </c>
    </row>
    <row r="66">
      <c r="A66" s="3" t="n">
        <v>11</v>
      </c>
      <c r="B66" s="3" t="inlineStr">
        <is>
          <t>да</t>
        </is>
      </c>
      <c r="C66" s="3" t="inlineStr">
        <is>
          <t>TrophyPet17_Sport_9</t>
        </is>
      </c>
      <c r="D66" s="3">
        <f>"TrophyPet17_"&amp;'01_Паки'!C12</f>
        <v/>
      </c>
      <c r="E66" s="3" t="inlineStr">
        <is>
          <t>collection_item/trophy</t>
        </is>
      </c>
      <c r="F66" s="3" t="inlineStr">
        <is>
          <t>Trophy classname из new_prefix</t>
        </is>
      </c>
    </row>
    <row r="67" ht="30" customHeight="1">
      <c r="A67" s="3" t="n">
        <v>11</v>
      </c>
      <c r="B67" s="3" t="inlineStr">
        <is>
          <t>нет</t>
        </is>
      </c>
      <c r="C67" s="3" t="n"/>
      <c r="D67" s="3" t="n"/>
      <c r="E67" s="3" t="inlineStr">
        <is>
          <t>extra</t>
        </is>
      </c>
      <c r="F67" s="3" t="inlineStr">
        <is>
          <t>Дополнительная замена, если всплывёт общий classname</t>
        </is>
      </c>
    </row>
    <row r="68">
      <c r="A68" s="3" t="n">
        <v>12</v>
      </c>
      <c r="B68" s="3" t="inlineStr">
        <is>
          <t>да</t>
        </is>
      </c>
      <c r="C68" s="2" t="inlineStr">
        <is>
          <t>Adventure_3_Sport_9</t>
        </is>
      </c>
      <c r="D68" s="2">
        <f>'01_Паки'!C13</f>
        <v/>
      </c>
      <c r="E68" s="3" t="inlineStr">
        <is>
          <t>all</t>
        </is>
      </c>
      <c r="F68" s="1" t="inlineStr">
        <is>
          <t>Главный prefix/classname набора</t>
        </is>
      </c>
    </row>
    <row r="69">
      <c r="A69" s="3" t="n">
        <v>12</v>
      </c>
      <c r="B69" s="3" t="inlineStr">
        <is>
          <t>да</t>
        </is>
      </c>
      <c r="C69" s="2" t="inlineStr">
        <is>
          <t>Adventure_3_Sport</t>
        </is>
      </c>
      <c r="D69" s="2">
        <f>'01_Паки'!D13</f>
        <v/>
      </c>
      <c r="E69" s="3" t="inlineStr">
        <is>
          <t>paths/event_frame</t>
        </is>
      </c>
      <c r="F69" s="1" t="inlineStr">
        <is>
          <t>Папка события</t>
        </is>
      </c>
    </row>
    <row r="70">
      <c r="A70" s="3" t="n">
        <v>12</v>
      </c>
      <c r="B70" s="3" t="inlineStr">
        <is>
          <t>да</t>
        </is>
      </c>
      <c r="C70" s="2" t="inlineStr">
        <is>
          <t>Adventure_GR_3</t>
        </is>
      </c>
      <c r="D70" s="2">
        <f>'01_Паки'!E13</f>
        <v/>
      </c>
      <c r="E70" s="3" t="inlineStr">
        <is>
          <t>quest/rewards</t>
        </is>
      </c>
      <c r="F70" s="1" t="inlineStr">
        <is>
          <t>Главный ресурс прогресса</t>
        </is>
      </c>
    </row>
    <row r="71" ht="30" customHeight="1">
      <c r="A71" s="3" t="n">
        <v>12</v>
      </c>
      <c r="B71" s="3" t="inlineStr">
        <is>
          <t>да</t>
        </is>
      </c>
      <c r="C71" s="3" t="inlineStr">
        <is>
          <t>Pet17_Sport_9</t>
        </is>
      </c>
      <c r="D71" s="3">
        <f>"Pet17_"&amp;'01_Паки'!C13</f>
        <v/>
      </c>
      <c r="E71" s="3" t="inlineStr">
        <is>
          <t>pet/reward strings</t>
        </is>
      </c>
      <c r="F71" s="3" t="inlineStr">
        <is>
          <t>Pet classname из new_prefix</t>
        </is>
      </c>
    </row>
    <row r="72">
      <c r="A72" s="3" t="n">
        <v>12</v>
      </c>
      <c r="B72" s="3" t="inlineStr">
        <is>
          <t>да</t>
        </is>
      </c>
      <c r="C72" s="3" t="inlineStr">
        <is>
          <t>TrophyPet17_Sport_9</t>
        </is>
      </c>
      <c r="D72" s="3">
        <f>"TrophyPet17_"&amp;'01_Паки'!C13</f>
        <v/>
      </c>
      <c r="E72" s="3" t="inlineStr">
        <is>
          <t>collection_item/trophy</t>
        </is>
      </c>
      <c r="F72" s="3" t="inlineStr">
        <is>
          <t>Trophy classname из new_prefix</t>
        </is>
      </c>
    </row>
    <row r="73" ht="30" customHeight="1">
      <c r="A73" s="3" t="n">
        <v>12</v>
      </c>
      <c r="B73" s="3" t="inlineStr">
        <is>
          <t>нет</t>
        </is>
      </c>
      <c r="C73" s="3" t="n"/>
      <c r="D73" s="3" t="n"/>
      <c r="E73" s="3" t="inlineStr">
        <is>
          <t>extra</t>
        </is>
      </c>
      <c r="F73" s="3" t="inlineStr">
        <is>
          <t>Дополнительная замена, если всплывёт общий classname</t>
        </is>
      </c>
    </row>
  </sheetData>
  <autoFilter ref="A1:F73"/>
  <dataValidations count="1">
    <dataValidation sqref="B2:B200" showDropDown="0" showInputMessage="0" showErrorMessage="0" allowBlank="1" type="list">
      <formula1>"да,нет"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1"/>
  <sheetViews>
    <sheetView showGridLines="0" zoomScale="115" zoomScaleNormal="115" workbookViewId="0">
      <pane ySplit="1" topLeftCell="A5" activePane="bottomLeft" state="frozen"/>
      <selection pane="bottomLeft" activeCell="D7" sqref="D7"/>
    </sheetView>
  </sheetViews>
  <sheetFormatPr baseColWidth="8" defaultRowHeight="15"/>
  <cols>
    <col width="10" customWidth="1" min="1" max="1"/>
    <col width="20" customWidth="1" min="2" max="2"/>
    <col width="34" customWidth="1" min="3" max="4"/>
    <col width="38" customWidth="1" min="5" max="5"/>
    <col width="58" customWidth="1" min="6" max="6"/>
    <col width="24" customWidth="1" min="7" max="7"/>
    <col width="46" customWidth="1" min="8" max="8"/>
    <col width="18" customWidth="1" min="9" max="9"/>
    <col width="14" customWidth="1" min="10" max="11"/>
    <col width="72" customWidth="1" min="12" max="12"/>
  </cols>
  <sheetData>
    <row r="1" ht="33.95" customHeight="1">
      <c r="A1" s="6" t="inlineStr">
        <is>
          <t>pack_no</t>
        </is>
      </c>
      <c r="B1" s="6" t="inlineStr">
        <is>
          <t>entity_kind</t>
        </is>
      </c>
      <c r="C1" s="6" t="inlineStr">
        <is>
          <t>reference_classname</t>
        </is>
      </c>
      <c r="D1" s="6" t="inlineStr">
        <is>
          <t>new_classname</t>
        </is>
      </c>
      <c r="E1" s="6" t="inlineStr">
        <is>
          <t>title</t>
        </is>
      </c>
      <c r="F1" s="6" t="inlineStr">
        <is>
          <t>description</t>
        </is>
      </c>
      <c r="G1" s="6" t="inlineStr">
        <is>
          <t>default_name</t>
        </is>
      </c>
      <c r="H1" s="6" t="inlineStr">
        <is>
          <t>title_attention / hint</t>
        </is>
      </c>
      <c r="I1" s="6" t="inlineStr">
        <is>
          <t>subgroup</t>
        </is>
      </c>
      <c r="J1" s="6" t="inlineStr">
        <is>
          <t>price</t>
        </is>
      </c>
      <c r="K1" s="6" t="inlineStr">
        <is>
          <t>currency</t>
        </is>
      </c>
      <c r="L1" s="6" t="inlineStr">
        <is>
          <t>extra_json_or_notes</t>
        </is>
      </c>
    </row>
    <row r="2">
      <c r="A2" s="1" t="n">
        <v>1</v>
      </c>
      <c r="B2" s="1" t="inlineStr">
        <is>
          <t>main_resource</t>
        </is>
      </c>
      <c r="C2" s="4" t="inlineStr">
        <is>
          <t>Adventure_GR_3</t>
        </is>
      </c>
      <c r="D2" s="2" t="inlineStr">
        <is>
          <t>Adventure_GR_4</t>
        </is>
      </c>
      <c r="E2" s="2" t="inlineStr">
        <is>
          <t>Сказочка</t>
        </is>
      </c>
      <c r="F2" s="2" t="n"/>
      <c r="G2" s="3" t="n"/>
      <c r="H2" s="3" t="n"/>
      <c r="I2" s="3" t="inlineStr">
        <is>
          <t>quest_resource</t>
        </is>
      </c>
      <c r="J2" s="3" t="n"/>
      <c r="K2" s="3" t="n"/>
      <c r="L2" s="3" t="inlineStr">
        <is>
          <t>is_hidden=1; inventory_section=constructor; id=81706</t>
        </is>
      </c>
    </row>
    <row r="3" ht="60" customHeight="1">
      <c r="A3" s="1" t="n">
        <v>1</v>
      </c>
      <c r="B3" s="1" t="inlineStr">
        <is>
          <t>pet</t>
        </is>
      </c>
      <c r="C3" s="4" t="inlineStr">
        <is>
          <t>Pet17_Sport_9</t>
        </is>
      </c>
      <c r="D3" s="3" t="inlineStr">
        <is>
          <t>Pet17_Adventure_4_1</t>
        </is>
      </c>
      <c r="E3" s="2" t="inlineStr">
        <is>
          <t>Лягушка</t>
        </is>
      </c>
      <c r="F3" s="2" t="inlineStr">
        <is>
          <t>Эта очаровательная зелёная принцесса знает толк в волшебстве и королевских приключениях! Любое болото превратится в сказочное царство, а заветное желание обязательно исполнится!</t>
        </is>
      </c>
      <c r="G3" s="3" t="inlineStr">
        <is>
          <t>Царевна</t>
        </is>
      </c>
      <c r="H3" s="3" t="inlineStr">
        <is>
          <t>Уникальный крохонька. Можно получить только в Сказочных приключениях.</t>
        </is>
      </c>
      <c r="I3" s="3" t="inlineStr">
        <is>
          <t>pet17</t>
        </is>
      </c>
      <c r="J3" s="3" t="inlineStr">
        <is>
          <t>open_price=money_alt=30000</t>
        </is>
      </c>
      <c r="K3" s="3" t="n"/>
      <c r="L3" s="3" t="inlineStr">
        <is>
          <t>event_frame=Adventure_4; feed_price=asset=Philtre:1; title_feed=От 100% до 0% Сытость падает за 3д. Одно кормление прибавляет 80% Сытости.</t>
        </is>
      </c>
    </row>
    <row r="4" ht="45" customHeight="1">
      <c r="A4" s="1" t="n">
        <v>1</v>
      </c>
      <c r="B4" s="1" t="inlineStr">
        <is>
          <t>collection_item</t>
        </is>
      </c>
      <c r="C4" s="4" t="inlineStr">
        <is>
          <t>TrophyPet17_Sport_9</t>
        </is>
      </c>
      <c r="D4" s="2" t="inlineStr">
        <is>
          <t>TrophyPet17_Adventure_4_1</t>
        </is>
      </c>
      <c r="E4" s="2" t="inlineStr">
        <is>
          <t>Медалька "Лягушка"</t>
        </is>
      </c>
      <c r="F4" s="2" t="inlineStr">
        <is>
          <t>Раз в день можно получить бонус.</t>
        </is>
      </c>
      <c r="G4" s="3" t="n"/>
      <c r="H4" s="3" t="n"/>
      <c r="I4" s="3" t="n"/>
      <c r="J4" s="3" t="n"/>
      <c r="K4" s="3" t="n"/>
      <c r="L4" s="3" t="inlineStr">
        <is>
          <t>rand_reward.one_of=[{"xp":600,"p":38},{"xp":1200,"p":33},{"asset":"DomovoySpeedModifier_12h","amount":1,"p":20},{"asset":"Philtre","amount":1,"p":5},{"money":1,"p":4}]</t>
        </is>
      </c>
    </row>
    <row r="5">
      <c r="A5" s="1" t="n">
        <v>1</v>
      </c>
      <c r="B5" s="1" t="inlineStr">
        <is>
          <t>furniture</t>
        </is>
      </c>
      <c r="C5" s="4" t="inlineStr">
        <is>
          <t>Adventure_3_Sport_Reward_9</t>
        </is>
      </c>
      <c r="D5" s="2" t="inlineStr">
        <is>
          <t>Adventure_4_1_Reward_1</t>
        </is>
      </c>
      <c r="E5" s="2" t="inlineStr">
        <is>
          <t>Целуй</t>
        </is>
      </c>
      <c r="F5" s="2" t="inlineStr">
        <is>
          <t>Царевна требует внимания!</t>
        </is>
      </c>
      <c r="G5" s="3" t="n"/>
      <c r="H5" s="3" t="n"/>
      <c r="I5" s="3" t="inlineStr">
        <is>
          <t>big</t>
        </is>
      </c>
      <c r="J5" s="3" t="n">
        <v>9</v>
      </c>
      <c r="K5" s="3" t="inlineStr">
        <is>
          <t>money</t>
        </is>
      </c>
      <c r="L5" s="3" t="inlineStr">
        <is>
          <t>inventory_section=big;</t>
        </is>
      </c>
    </row>
    <row r="6" ht="30" customHeight="1">
      <c r="A6" s="1" t="n">
        <v>1</v>
      </c>
      <c r="B6" s="1" t="inlineStr">
        <is>
          <t>pot_multi</t>
        </is>
      </c>
      <c r="C6" s="4" t="inlineStr">
        <is>
          <t>Adventure_3_Sport_Pot_Multi_9</t>
        </is>
      </c>
      <c r="D6" s="2" t="inlineStr">
        <is>
          <t>Adventure_4_1_Pot_Multi_1</t>
        </is>
      </c>
      <c r="E6" s="2" t="inlineStr">
        <is>
          <t>Мечта хозяюшки "Царевна лягушка"</t>
        </is>
      </c>
      <c r="F6" s="2" t="inlineStr">
        <is>
          <t>Горшочек сочный любимый. Выращивай в нём по 5 цветов за раз!</t>
        </is>
      </c>
      <c r="G6" s="3" t="n"/>
      <c r="H6" s="3" t="n"/>
      <c r="I6" s="3" t="inlineStr">
        <is>
          <t>multiflower</t>
        </is>
      </c>
      <c r="J6" s="3" t="n">
        <v>30</v>
      </c>
      <c r="K6" s="3" t="inlineStr">
        <is>
          <t>money</t>
        </is>
      </c>
      <c r="L6" s="3" t="n"/>
    </row>
    <row r="7" ht="30" customHeight="1">
      <c r="A7" s="1" t="n">
        <v>1</v>
      </c>
      <c r="B7" s="1" t="inlineStr">
        <is>
          <t>pot_multi_magic</t>
        </is>
      </c>
      <c r="C7" s="4" t="inlineStr">
        <is>
          <t>Adventure_3_Sport_Pot_Multi_Magic_9</t>
        </is>
      </c>
      <c r="D7" s="2" t="inlineStr">
        <is>
          <t>Adventure_4_1_Pot_Multi_Magic</t>
        </is>
      </c>
      <c r="E7" s="2" t="inlineStr">
        <is>
          <t>Волшебная мечта хозяюшки "Болотное царство"</t>
        </is>
      </c>
      <c r="F7" s="2" t="inlineStr">
        <is>
          <t>В этом горшочке вся красота болотного царства, выращивай сразу 5 волшебных цветочков!</t>
        </is>
      </c>
      <c r="G7" s="3" t="n"/>
      <c r="H7" s="3" t="n"/>
      <c r="I7" s="3" t="inlineStr">
        <is>
          <t>multimagic</t>
        </is>
      </c>
      <c r="J7" s="3" t="n">
        <v>50</v>
      </c>
      <c r="K7" s="3" t="inlineStr">
        <is>
          <t>money</t>
        </is>
      </c>
      <c r="L7" s="3" t="n"/>
    </row>
    <row r="8">
      <c r="A8" s="1" t="n">
        <v>1</v>
      </c>
      <c r="B8" s="1" t="inlineStr">
        <is>
          <t>trophy</t>
        </is>
      </c>
      <c r="C8" s="4" t="inlineStr">
        <is>
          <t>TrophyPet17_Sport_9</t>
        </is>
      </c>
      <c r="D8" s="2" t="inlineStr">
        <is>
          <t>TrophyPet17_Adventure_4_1</t>
        </is>
      </c>
      <c r="E8" s="2" t="inlineStr">
        <is>
          <t>Лягушка</t>
        </is>
      </c>
      <c r="F8" s="2" t="n"/>
      <c r="G8" s="3" t="n"/>
      <c r="H8" s="3" t="n"/>
      <c r="I8" s="3" t="n"/>
      <c r="J8" s="3" t="n"/>
      <c r="K8" s="3" t="n"/>
      <c r="L8" s="3" t="inlineStr">
        <is>
          <t>quest/trophy; find=replace=TrophyPet17_Sport_9</t>
        </is>
      </c>
    </row>
    <row r="9" ht="45" customHeight="1">
      <c r="A9" s="1" t="n">
        <v>1</v>
      </c>
      <c r="B9" s="1" t="inlineStr">
        <is>
          <t>box_1</t>
        </is>
      </c>
      <c r="C9" s="4" t="inlineStr">
        <is>
          <t>Adventure_3_Sport_Box_1</t>
        </is>
      </c>
      <c r="D9" s="2" t="inlineStr">
        <is>
          <t>Adventure_4_Box_1</t>
        </is>
      </c>
      <c r="E9" s="2" t="inlineStr">
        <is>
          <t>Коробка с подарками</t>
        </is>
      </c>
      <c r="F9" s="2" t="inlineStr">
        <is>
          <t>Содержит волшебную синюю жабу, дающую грошики раз в день.</t>
        </is>
      </c>
      <c r="G9" s="3" t="n"/>
      <c r="H9" s="3" t="n"/>
      <c r="I9" s="3" t="n"/>
      <c r="J9" s="3" t="n">
        <v>1</v>
      </c>
      <c r="K9" s="3" t="inlineStr">
        <is>
          <t>money_alt</t>
        </is>
      </c>
      <c r="L9" s="3" t="inlineStr">
        <is>
          <t>meta_info=plan=first; rand_reward={"all":[{"asset":"MoneyboxFrogBlue","amount":1},{"asset":"Shop_of_miracles_GR_1","amount":20}]}</t>
        </is>
      </c>
    </row>
    <row r="10" ht="75" customHeight="1">
      <c r="A10" s="1" t="n">
        <v>1</v>
      </c>
      <c r="B10" s="1" t="inlineStr">
        <is>
          <t>box_2</t>
        </is>
      </c>
      <c r="C10" s="4" t="inlineStr">
        <is>
          <t>Adventure_3_Sport_Box_2</t>
        </is>
      </c>
      <c r="D10" s="2" t="inlineStr">
        <is>
          <t>Adventure_4_Box_2</t>
        </is>
      </c>
      <c r="E10" s="2" t="inlineStr">
        <is>
          <t>Коробка с подарками</t>
        </is>
      </c>
      <c r="F10" s="2" t="inlineStr">
        <is>
          <t>Содержит: 2 бустера для мгновенной уборки мусора со всех горшков в локации, 15 оживителей, 15 ускорителей, 20 жетонов</t>
        </is>
      </c>
      <c r="G10" s="3" t="n"/>
      <c r="H10" s="3" t="n"/>
      <c r="I10" s="3" t="n"/>
      <c r="J10" s="3" t="n">
        <v>1</v>
      </c>
      <c r="K10" s="3" t="inlineStr">
        <is>
          <t>money_alt</t>
        </is>
      </c>
      <c r="L10" s="3" t="inlineStr">
        <is>
          <t>meta_info=plan=first; rand_reward={"all":[{"asset":"Stuff_Booster_CleanPot","amount":2},{"asset":"RecoverPlantBooster","amount":15},{"asset":"AccelerationPlantBooster","amount":15},{"asset":"AccelerateCraftingBooster","amount":20},{"asset":"Shop_of_miracles_GR_1","amount":30}]}</t>
        </is>
      </c>
    </row>
    <row r="11" ht="75" customHeight="1">
      <c r="A11" s="1" t="n">
        <v>1</v>
      </c>
      <c r="B11" s="1" t="inlineStr">
        <is>
          <t>box_3</t>
        </is>
      </c>
      <c r="C11" s="4" t="inlineStr">
        <is>
          <t>Adventure_3_Sport_Box_3</t>
        </is>
      </c>
      <c r="D11" s="2" t="inlineStr">
        <is>
          <t>Adventure_4_Box_3</t>
        </is>
      </c>
      <c r="E11" s="2" t="inlineStr">
        <is>
          <t>Коробка с подарками</t>
        </is>
      </c>
      <c r="F11" s="2" t="inlineStr">
        <is>
          <t>Коробка содержит: 4 бустеров для мгновенной уборки мусора со всех горшков в локации, 20 оживителей, 20 ускорителей, 30 жетонов</t>
        </is>
      </c>
      <c r="G11" s="3" t="n"/>
      <c r="H11" s="3" t="n"/>
      <c r="I11" s="3" t="n"/>
      <c r="J11" s="3" t="n">
        <v>1</v>
      </c>
      <c r="K11" s="3" t="inlineStr">
        <is>
          <t>money_alt</t>
        </is>
      </c>
      <c r="L11" s="3" t="inlineStr">
        <is>
          <t>meta_info=plan=first; rand_reward={"all":[{"asset":"Stuff_Booster_CleanPot","amount":4},{"asset":"RecoverPlantBooster","amount":20},{"asset":"AccelerationPlantBooster","amount":20},{"asset":"AccelerateCraftingBooster","amount":30},{"asset":"Shop_of_miracles_GR_1","amount":50}]}</t>
        </is>
      </c>
    </row>
    <row r="12">
      <c r="A12" s="1" t="n">
        <v>2</v>
      </c>
      <c r="B12" s="1" t="inlineStr">
        <is>
          <t>main_resource</t>
        </is>
      </c>
      <c r="C12" s="4" t="inlineStr">
        <is>
          <t>Adventure_GR_3</t>
        </is>
      </c>
      <c r="D12" s="2" t="inlineStr">
        <is>
          <t>Adventure_GR_4</t>
        </is>
      </c>
      <c r="E12" s="2" t="inlineStr">
        <is>
          <t>Сказочка</t>
        </is>
      </c>
      <c r="F12" s="2" t="n"/>
      <c r="G12" s="3" t="n"/>
      <c r="H12" s="3" t="n"/>
      <c r="I12" s="3" t="inlineStr">
        <is>
          <t>quest_resource</t>
        </is>
      </c>
      <c r="J12" s="3" t="n"/>
      <c r="K12" s="3" t="n"/>
      <c r="L12" s="3" t="inlineStr">
        <is>
          <t>is_hidden=1; inventory_section=constructor; id=81706</t>
        </is>
      </c>
    </row>
    <row r="13" ht="60" customHeight="1">
      <c r="A13" s="1" t="n">
        <v>2</v>
      </c>
      <c r="B13" s="1" t="inlineStr">
        <is>
          <t>pet</t>
        </is>
      </c>
      <c r="C13" s="4" t="inlineStr">
        <is>
          <t>Pet17_Sport_9</t>
        </is>
      </c>
      <c r="D13" s="3" t="inlineStr">
        <is>
          <t>Pet17_Adventure_4_2</t>
        </is>
      </c>
      <c r="E13" s="2" t="inlineStr">
        <is>
          <t>Мышка</t>
        </is>
      </c>
      <c r="F13" s="2" t="inlineStr">
        <is>
          <t>Эта очаровательная зелёная принцесса знает толк в волшебстве и королевских приключениях! Любое болото превратится в сказочное царство, а заветное желание обязательно исполнится!</t>
        </is>
      </c>
      <c r="G13" s="3" t="inlineStr">
        <is>
          <t>Нарушка</t>
        </is>
      </c>
      <c r="H13" s="3" t="inlineStr">
        <is>
          <t>Уникальный крохонька. Можно получить только в Сказочных приключениях.</t>
        </is>
      </c>
      <c r="I13" s="3" t="inlineStr">
        <is>
          <t>pet17</t>
        </is>
      </c>
      <c r="J13" s="3" t="inlineStr">
        <is>
          <t>open_price=money_alt=30000</t>
        </is>
      </c>
      <c r="K13" s="3" t="n"/>
      <c r="L13" s="3" t="inlineStr">
        <is>
          <t>event_frame=Adventure_4; feed_price=asset=FeltToy:1; title_feed=От 100% до 0% Сытость падает за 3д. Одно кормление прибавляет 80% Сытости.</t>
        </is>
      </c>
    </row>
    <row r="14" ht="45" customHeight="1">
      <c r="A14" s="1" t="n">
        <v>2</v>
      </c>
      <c r="B14" s="1" t="inlineStr">
        <is>
          <t>collection_item</t>
        </is>
      </c>
      <c r="C14" s="4" t="inlineStr">
        <is>
          <t>TrophyPet17_Sport_9</t>
        </is>
      </c>
      <c r="D14" s="2" t="inlineStr">
        <is>
          <t>TrophyPet17_Adventure_4_2</t>
        </is>
      </c>
      <c r="E14" s="2" t="inlineStr">
        <is>
          <t>Медалька "Мышка"</t>
        </is>
      </c>
      <c r="F14" s="2" t="inlineStr">
        <is>
          <t>Раз в день можно получить бонус.</t>
        </is>
      </c>
      <c r="G14" s="3" t="n"/>
      <c r="H14" s="3" t="n"/>
      <c r="I14" s="3" t="n"/>
      <c r="J14" s="3" t="n"/>
      <c r="K14" s="3" t="n"/>
      <c r="L14" s="3" t="inlineStr">
        <is>
          <t>rand_reward.one_of=[{"xp":600,"p":38},{"xp":1200,"p":33},{"asset":"DomovoySpeedModifier_12h","amount":1,"p":20},{"asset":"FeltToy","amount":1,"p":5},{"money":1,"p":4}]</t>
        </is>
      </c>
    </row>
    <row r="15">
      <c r="A15" s="1" t="n">
        <v>2</v>
      </c>
      <c r="B15" s="1" t="inlineStr">
        <is>
          <t>furniture</t>
        </is>
      </c>
      <c r="C15" s="4" t="inlineStr">
        <is>
          <t>Adventure_3_Sport_Reward_9</t>
        </is>
      </c>
      <c r="D15" s="2" t="inlineStr">
        <is>
          <t>Adventure_4_2_Reward_1</t>
        </is>
      </c>
      <c r="E15" s="2" t="inlineStr">
        <is>
          <t>Декор "Тянем-потянем"</t>
        </is>
      </c>
      <c r="F15" s="2" t="inlineStr">
        <is>
          <t>Командная работа!</t>
        </is>
      </c>
      <c r="G15" s="3" t="n"/>
      <c r="H15" s="3" t="n"/>
      <c r="I15" s="3" t="inlineStr">
        <is>
          <t>big</t>
        </is>
      </c>
      <c r="J15" s="3" t="n">
        <v>9</v>
      </c>
      <c r="K15" s="3" t="inlineStr">
        <is>
          <t>money</t>
        </is>
      </c>
      <c r="L15" s="3" t="inlineStr">
        <is>
          <t>inventory_section=big;</t>
        </is>
      </c>
    </row>
    <row r="16" ht="30" customHeight="1">
      <c r="A16" s="1" t="n">
        <v>2</v>
      </c>
      <c r="B16" s="1" t="inlineStr">
        <is>
          <t>pot_multi</t>
        </is>
      </c>
      <c r="C16" s="4" t="inlineStr">
        <is>
          <t>Adventure_3_Sport_Pot_Multi_9</t>
        </is>
      </c>
      <c r="D16" s="2" t="inlineStr">
        <is>
          <t>Adventure_4_2_Pot_Multi_1</t>
        </is>
      </c>
      <c r="E16" s="2" t="inlineStr">
        <is>
          <t>Мечта хозяюшки "Репка"</t>
        </is>
      </c>
      <c r="F16" s="2" t="inlineStr">
        <is>
          <t>Горшочек сочный любимый. Выращивай в нём по 5 цветов за раз!</t>
        </is>
      </c>
      <c r="G16" s="3" t="n"/>
      <c r="H16" s="3" t="n"/>
      <c r="I16" s="3" t="inlineStr">
        <is>
          <t>multiflower</t>
        </is>
      </c>
      <c r="J16" s="3" t="n">
        <v>30</v>
      </c>
      <c r="K16" s="3" t="inlineStr">
        <is>
          <t>money</t>
        </is>
      </c>
      <c r="L16" s="3" t="n"/>
    </row>
    <row r="17" ht="30" customHeight="1">
      <c r="A17" s="1" t="n">
        <v>2</v>
      </c>
      <c r="B17" s="1" t="inlineStr">
        <is>
          <t>pot_multi_magic</t>
        </is>
      </c>
      <c r="C17" s="4" t="inlineStr">
        <is>
          <t>Adventure_3_Sport_Pot_Multi_Magic_9</t>
        </is>
      </c>
      <c r="D17" s="2" t="inlineStr">
        <is>
          <t>Adventure_4_2_Pot_Multi_Magic</t>
        </is>
      </c>
      <c r="E17" s="2" t="inlineStr">
        <is>
          <t>Волшебная мечта хозяюшки "Репка"</t>
        </is>
      </c>
      <c r="F17" s="2" t="inlineStr">
        <is>
          <t>Тянули, тянули и вытащили репку! Выращивай сразу 5 волшебных цветочков!</t>
        </is>
      </c>
      <c r="G17" s="3" t="n"/>
      <c r="H17" s="3" t="n"/>
      <c r="I17" s="3" t="inlineStr">
        <is>
          <t>multimagic</t>
        </is>
      </c>
      <c r="J17" s="3" t="n">
        <v>50</v>
      </c>
      <c r="K17" s="3" t="inlineStr">
        <is>
          <t>money</t>
        </is>
      </c>
      <c r="L17" s="3" t="n"/>
    </row>
    <row r="18">
      <c r="A18" s="1" t="n">
        <v>2</v>
      </c>
      <c r="B18" s="1" t="inlineStr">
        <is>
          <t>trophy</t>
        </is>
      </c>
      <c r="C18" s="4" t="inlineStr">
        <is>
          <t>TrophyPet17_Sport_9</t>
        </is>
      </c>
      <c r="D18" s="2" t="inlineStr">
        <is>
          <t>TrophyPet17_Adventure_4_2</t>
        </is>
      </c>
      <c r="E18" s="2" t="inlineStr">
        <is>
          <t>Мышка</t>
        </is>
      </c>
      <c r="F18" s="2" t="n"/>
      <c r="G18" s="3" t="n"/>
      <c r="H18" s="3" t="n"/>
      <c r="I18" s="3" t="n"/>
      <c r="J18" s="3" t="n"/>
      <c r="K18" s="3" t="n"/>
      <c r="L18" s="3" t="inlineStr">
        <is>
          <t>quest/trophy; find=replace=TrophyPet17_Sport_9</t>
        </is>
      </c>
    </row>
    <row r="19" ht="45" customHeight="1">
      <c r="A19" s="1" t="n">
        <v>2</v>
      </c>
      <c r="B19" s="1" t="inlineStr">
        <is>
          <t>box_1</t>
        </is>
      </c>
      <c r="C19" s="4" t="inlineStr">
        <is>
          <t>Adventure_3_Sport_Box_1</t>
        </is>
      </c>
      <c r="D19" s="2" t="inlineStr">
        <is>
          <t>Adventure_4_Box_1</t>
        </is>
      </c>
      <c r="E19" s="2" t="inlineStr">
        <is>
          <t>Коробка с подарками</t>
        </is>
      </c>
      <c r="F19" s="2" t="inlineStr">
        <is>
          <t>Содержит волшебную синюю жабу, дающую грошики раз в день.</t>
        </is>
      </c>
      <c r="G19" s="3" t="n"/>
      <c r="H19" s="3" t="n"/>
      <c r="I19" s="3" t="n"/>
      <c r="J19" s="3" t="n">
        <v>1</v>
      </c>
      <c r="K19" s="3" t="inlineStr">
        <is>
          <t>money_alt</t>
        </is>
      </c>
      <c r="L19" s="3" t="inlineStr">
        <is>
          <t>meta_info=plan=first; rand_reward={"all":[{"asset":"MoneyboxFrogBlue","amount":1},{"asset":"Shop_of_miracles_GR_1","amount":20}]}</t>
        </is>
      </c>
    </row>
    <row r="20" ht="75" customHeight="1">
      <c r="A20" s="1" t="n">
        <v>2</v>
      </c>
      <c r="B20" s="1" t="inlineStr">
        <is>
          <t>box_2</t>
        </is>
      </c>
      <c r="C20" s="4" t="inlineStr">
        <is>
          <t>Adventure_3_Sport_Box_2</t>
        </is>
      </c>
      <c r="D20" s="2" t="inlineStr">
        <is>
          <t>Adventure_4_Box_2</t>
        </is>
      </c>
      <c r="E20" s="2" t="inlineStr">
        <is>
          <t>Коробка с подарками</t>
        </is>
      </c>
      <c r="F20" s="2" t="inlineStr">
        <is>
          <t>Содержит: 2 бустера для мгновенной уборки мусора со всех горшков в локации, 15 оживителей, 15 ускорителей, 20 жетонов</t>
        </is>
      </c>
      <c r="G20" s="3" t="n"/>
      <c r="H20" s="3" t="n"/>
      <c r="I20" s="3" t="n"/>
      <c r="J20" s="3" t="n">
        <v>1</v>
      </c>
      <c r="K20" s="3" t="inlineStr">
        <is>
          <t>money_alt</t>
        </is>
      </c>
      <c r="L20" s="3" t="inlineStr">
        <is>
          <t>meta_info=plan=first; rand_reward={"all":[{"asset":"Stuff_Booster_CleanPot","amount":2},{"asset":"RecoverPlantBooster","amount":15},{"asset":"AccelerationPlantBooster","amount":15},{"asset":"AccelerateCraftingBooster","amount":20},{"asset":"Shop_of_miracles_GR_1","amount":30}]}</t>
        </is>
      </c>
    </row>
    <row r="21" ht="75" customHeight="1">
      <c r="A21" s="1" t="n">
        <v>2</v>
      </c>
      <c r="B21" s="1" t="inlineStr">
        <is>
          <t>box_3</t>
        </is>
      </c>
      <c r="C21" s="4" t="inlineStr">
        <is>
          <t>Adventure_3_Sport_Box_3</t>
        </is>
      </c>
      <c r="D21" s="2" t="inlineStr">
        <is>
          <t>Adventure_4_Box_3</t>
        </is>
      </c>
      <c r="E21" s="2" t="inlineStr">
        <is>
          <t>Коробка с подарками</t>
        </is>
      </c>
      <c r="F21" s="2" t="inlineStr">
        <is>
          <t>Коробка содержит: 4 бустеров для мгновенной уборки мусора со всех горшков в локации, 20 оживителей, 20 ускорителей, 30 жетонов</t>
        </is>
      </c>
      <c r="G21" s="3" t="n"/>
      <c r="H21" s="3" t="n"/>
      <c r="I21" s="3" t="n"/>
      <c r="J21" s="3" t="n">
        <v>1</v>
      </c>
      <c r="K21" s="3" t="inlineStr">
        <is>
          <t>money_alt</t>
        </is>
      </c>
      <c r="L21" s="3" t="inlineStr">
        <is>
          <t>meta_info=plan=first; rand_reward={"all":[{"asset":"Stuff_Booster_CleanPot","amount":4},{"asset":"RecoverPlantBooster","amount":20},{"asset":"AccelerationPlantBooster","amount":20},{"asset":"AccelerateCraftingBooster","amount":30},{"asset":"Shop_of_miracles_GR_1","amount":50}]}</t>
        </is>
      </c>
    </row>
    <row r="22">
      <c r="A22" s="1" t="n">
        <v>3</v>
      </c>
      <c r="B22" s="1" t="inlineStr">
        <is>
          <t>main_resource</t>
        </is>
      </c>
      <c r="C22" s="4" t="inlineStr">
        <is>
          <t>Adventure_GR_3</t>
        </is>
      </c>
      <c r="D22" s="2" t="inlineStr">
        <is>
          <t>Adventure_GR_4</t>
        </is>
      </c>
      <c r="E22" s="2" t="inlineStr">
        <is>
          <t>Сказочка</t>
        </is>
      </c>
      <c r="F22" s="2" t="n"/>
      <c r="G22" s="3" t="n"/>
      <c r="H22" s="3" t="n"/>
      <c r="I22" s="3" t="inlineStr">
        <is>
          <t>quest_resource</t>
        </is>
      </c>
      <c r="J22" s="3" t="n"/>
      <c r="K22" s="3" t="n"/>
      <c r="L22" s="3" t="inlineStr">
        <is>
          <t>is_hidden=1; inventory_section=constructor; id=81706</t>
        </is>
      </c>
    </row>
    <row r="23" ht="75" customHeight="1">
      <c r="A23" s="1" t="n">
        <v>3</v>
      </c>
      <c r="B23" s="1" t="inlineStr">
        <is>
          <t>pet</t>
        </is>
      </c>
      <c r="C23" s="4" t="inlineStr">
        <is>
          <t>Pet17_Sport_9</t>
        </is>
      </c>
      <c r="D23" s="3" t="inlineStr">
        <is>
          <t>Pet17_Adventure_4_3</t>
        </is>
      </c>
      <c r="E23" s="2" t="inlineStr">
        <is>
          <t>Цыпленок</t>
        </is>
      </c>
      <c r="F23" s="2" t="inlineStr">
        <is>
          <t>Этот любопытный цыплёнок — настоящий охотник за чудесами! С увеличительным стеклом и вместительным фартуком он исследует каждый уголок в поисках редких находок. А золотое яйцо в его лапках доказывает: если рядом Золотко — сокровище обязательно найдётся!</t>
        </is>
      </c>
      <c r="G23" s="3" t="inlineStr">
        <is>
          <t>Золотко</t>
        </is>
      </c>
      <c r="H23" s="3" t="inlineStr">
        <is>
          <t>Уникальный крохонька. Можно получить только в Сказочных приключениях.</t>
        </is>
      </c>
      <c r="I23" s="3" t="inlineStr">
        <is>
          <t>pet17</t>
        </is>
      </c>
      <c r="J23" s="3" t="inlineStr">
        <is>
          <t>open_price=money_alt=30000</t>
        </is>
      </c>
      <c r="K23" s="3" t="n"/>
      <c r="L23" s="3" t="inlineStr">
        <is>
          <t>event_frame=Adventure_4; feed_price=asset=BagOfFlour:1; title_feed=От 100% до 0% Сытость падает за 3д. Одно кормление прибавляет 80% Сытости.</t>
        </is>
      </c>
    </row>
    <row r="24" ht="45" customHeight="1">
      <c r="A24" s="1" t="n">
        <v>3</v>
      </c>
      <c r="B24" s="1" t="inlineStr">
        <is>
          <t>collection_item</t>
        </is>
      </c>
      <c r="C24" s="4" t="inlineStr">
        <is>
          <t>TrophyPet17_Sport_9</t>
        </is>
      </c>
      <c r="D24" s="2" t="inlineStr">
        <is>
          <t>TrophyPet17_Adventure_4_3</t>
        </is>
      </c>
      <c r="E24" s="2" t="inlineStr">
        <is>
          <t>Медалька "Цыпленок"</t>
        </is>
      </c>
      <c r="F24" s="2" t="inlineStr">
        <is>
          <t>Раз в день можно получить бонус.</t>
        </is>
      </c>
      <c r="G24" s="3" t="n"/>
      <c r="H24" s="3" t="n"/>
      <c r="I24" s="3" t="n"/>
      <c r="J24" s="3" t="n"/>
      <c r="K24" s="3" t="n"/>
      <c r="L24" s="3" t="inlineStr">
        <is>
          <t>rand_reward.one_of=[{"xp":600,"p":38},{"xp":1200,"p":33},{"asset":"DomovoySpeedModifier_12h","amount":1,"p":20},{"asset":"BagOfFlour","amount":1,"p":5},{"money":1,"p":4}]</t>
        </is>
      </c>
    </row>
    <row r="25">
      <c r="A25" s="1" t="n">
        <v>3</v>
      </c>
      <c r="B25" s="1" t="inlineStr">
        <is>
          <t>furniture</t>
        </is>
      </c>
      <c r="C25" s="4" t="inlineStr">
        <is>
          <t>Adventure_3_Sport_Reward_9</t>
        </is>
      </c>
      <c r="D25" s="2" t="inlineStr">
        <is>
          <t>Adventure_4_3_Reward_1</t>
        </is>
      </c>
      <c r="E25" s="2" t="inlineStr">
        <is>
          <t>Декор "Курочка-Ряба"</t>
        </is>
      </c>
      <c r="F25" s="2" t="inlineStr">
        <is>
          <t>Бизнес пойдёт в гору!</t>
        </is>
      </c>
      <c r="G25" s="3" t="n"/>
      <c r="H25" s="3" t="n"/>
      <c r="I25" s="3" t="inlineStr">
        <is>
          <t>big</t>
        </is>
      </c>
      <c r="J25" s="3" t="n">
        <v>9</v>
      </c>
      <c r="K25" s="3" t="inlineStr">
        <is>
          <t>money</t>
        </is>
      </c>
      <c r="L25" s="3" t="inlineStr">
        <is>
          <t>inventory_section=big;</t>
        </is>
      </c>
    </row>
    <row r="26" ht="30" customHeight="1">
      <c r="A26" s="1" t="n">
        <v>3</v>
      </c>
      <c r="B26" s="1" t="inlineStr">
        <is>
          <t>pot_multi</t>
        </is>
      </c>
      <c r="C26" s="4" t="inlineStr">
        <is>
          <t>Adventure_3_Sport_Pot_Multi_9</t>
        </is>
      </c>
      <c r="D26" s="2" t="inlineStr">
        <is>
          <t>Adventure_4_3_Pot_Multi_1</t>
        </is>
      </c>
      <c r="E26" s="2" t="inlineStr">
        <is>
          <t>Мечта хозяюшки "Курочка-Ряба"</t>
        </is>
      </c>
      <c r="F26" s="2" t="inlineStr">
        <is>
          <t>Горшочек сочный любимый. Выращивай в нём по 5 цветов за раз!</t>
        </is>
      </c>
      <c r="G26" s="3" t="n"/>
      <c r="H26" s="3" t="n"/>
      <c r="I26" s="3" t="inlineStr">
        <is>
          <t>multiflower</t>
        </is>
      </c>
      <c r="J26" s="3" t="n">
        <v>30</v>
      </c>
      <c r="K26" s="3" t="inlineStr">
        <is>
          <t>money</t>
        </is>
      </c>
      <c r="L26" s="3" t="n"/>
    </row>
    <row r="27" ht="30" customHeight="1">
      <c r="A27" s="1" t="n">
        <v>3</v>
      </c>
      <c r="B27" s="1" t="inlineStr">
        <is>
          <t>pot_multi_magic</t>
        </is>
      </c>
      <c r="C27" s="4" t="inlineStr">
        <is>
          <t>Adventure_3_Sport_Pot_Multi_Magic_9</t>
        </is>
      </c>
      <c r="D27" s="2" t="inlineStr">
        <is>
          <t>Adventure_4_3_Pot_Multi_Magic</t>
        </is>
      </c>
      <c r="E27" s="2" t="inlineStr">
        <is>
          <t>Волшебная мечта хозяюшки "Золотое яйцо"</t>
        </is>
      </c>
      <c r="F27" s="2" t="inlineStr">
        <is>
          <t>Новый горшочек проклюнулся, скорее сажай в него цветы! Выращивай сразу 5 волшебных цветочков!</t>
        </is>
      </c>
      <c r="G27" s="3" t="n"/>
      <c r="H27" s="3" t="n"/>
      <c r="I27" s="3" t="inlineStr">
        <is>
          <t>multimagic</t>
        </is>
      </c>
      <c r="J27" s="3" t="n">
        <v>50</v>
      </c>
      <c r="K27" s="3" t="inlineStr">
        <is>
          <t>money</t>
        </is>
      </c>
      <c r="L27" s="3" t="n"/>
    </row>
    <row r="28">
      <c r="A28" s="1" t="n">
        <v>3</v>
      </c>
      <c r="B28" s="1" t="inlineStr">
        <is>
          <t>trophy</t>
        </is>
      </c>
      <c r="C28" s="4" t="inlineStr">
        <is>
          <t>TrophyPet17_Sport_9</t>
        </is>
      </c>
      <c r="D28" s="2" t="inlineStr">
        <is>
          <t>TrophyPet17_Adventure_4_3</t>
        </is>
      </c>
      <c r="E28" s="2" t="inlineStr">
        <is>
          <t>Цыпленок</t>
        </is>
      </c>
      <c r="F28" s="2" t="n"/>
      <c r="G28" s="3" t="n"/>
      <c r="H28" s="3" t="n"/>
      <c r="I28" s="3" t="n"/>
      <c r="J28" s="3" t="n"/>
      <c r="K28" s="3" t="n"/>
      <c r="L28" s="3" t="inlineStr">
        <is>
          <t>quest/trophy; find=replace=TrophyPet17_Sport_9</t>
        </is>
      </c>
    </row>
    <row r="29" ht="45" customHeight="1">
      <c r="A29" s="1" t="n">
        <v>3</v>
      </c>
      <c r="B29" s="1" t="inlineStr">
        <is>
          <t>box_1</t>
        </is>
      </c>
      <c r="C29" s="4" t="inlineStr">
        <is>
          <t>Adventure_3_Sport_Box_1</t>
        </is>
      </c>
      <c r="D29" s="2" t="inlineStr">
        <is>
          <t>Adventure_4_Box_1</t>
        </is>
      </c>
      <c r="E29" s="2" t="inlineStr">
        <is>
          <t>Коробка с подарками</t>
        </is>
      </c>
      <c r="F29" s="2" t="inlineStr">
        <is>
          <t>Содержит волшебную синюю жабу, дающую грошики раз в день.</t>
        </is>
      </c>
      <c r="G29" s="3" t="n"/>
      <c r="H29" s="3" t="n"/>
      <c r="I29" s="3" t="n"/>
      <c r="J29" s="3" t="n">
        <v>1</v>
      </c>
      <c r="K29" s="3" t="inlineStr">
        <is>
          <t>money_alt</t>
        </is>
      </c>
      <c r="L29" s="3" t="inlineStr">
        <is>
          <t>meta_info=plan=first; rand_reward={"all":[{"asset":"MoneyboxFrogBlue","amount":1},{"asset":"Shop_of_miracles_GR_1","amount":20}]}</t>
        </is>
      </c>
    </row>
    <row r="30" ht="75" customHeight="1">
      <c r="A30" s="1" t="n">
        <v>3</v>
      </c>
      <c r="B30" s="1" t="inlineStr">
        <is>
          <t>box_2</t>
        </is>
      </c>
      <c r="C30" s="4" t="inlineStr">
        <is>
          <t>Adventure_3_Sport_Box_2</t>
        </is>
      </c>
      <c r="D30" s="2" t="inlineStr">
        <is>
          <t>Adventure_4_Box_2</t>
        </is>
      </c>
      <c r="E30" s="2" t="inlineStr">
        <is>
          <t>Коробка с подарками</t>
        </is>
      </c>
      <c r="F30" s="2" t="inlineStr">
        <is>
          <t>Содержит: 2 бустера для мгновенной уборки мусора со всех горшков в локации, 15 оживителей, 15 ускорителей, 20 жетонов</t>
        </is>
      </c>
      <c r="G30" s="3" t="n"/>
      <c r="H30" s="3" t="n"/>
      <c r="I30" s="3" t="n"/>
      <c r="J30" s="3" t="n">
        <v>1</v>
      </c>
      <c r="K30" s="3" t="inlineStr">
        <is>
          <t>money_alt</t>
        </is>
      </c>
      <c r="L30" s="3" t="inlineStr">
        <is>
          <t>meta_info=plan=first; rand_reward={"all":[{"asset":"Stuff_Booster_CleanPot","amount":2},{"asset":"RecoverPlantBooster","amount":15},{"asset":"AccelerationPlantBooster","amount":15},{"asset":"AccelerateCraftingBooster","amount":20},{"asset":"Shop_of_miracles_GR_1","amount":30}]}</t>
        </is>
      </c>
    </row>
    <row r="31" ht="75" customHeight="1">
      <c r="A31" s="1" t="n">
        <v>3</v>
      </c>
      <c r="B31" s="1" t="inlineStr">
        <is>
          <t>box_3</t>
        </is>
      </c>
      <c r="C31" s="4" t="inlineStr">
        <is>
          <t>Adventure_3_Sport_Box_3</t>
        </is>
      </c>
      <c r="D31" s="2" t="inlineStr">
        <is>
          <t>Adventure_4_Box_3</t>
        </is>
      </c>
      <c r="E31" s="2" t="inlineStr">
        <is>
          <t>Коробка с подарками</t>
        </is>
      </c>
      <c r="F31" s="2" t="inlineStr">
        <is>
          <t>Коробка содержит: 4 бустеров для мгновенной уборки мусора со всех горшков в локации, 20 оживителей, 20 ускорителей, 30 жетонов</t>
        </is>
      </c>
      <c r="G31" s="3" t="n"/>
      <c r="H31" s="3" t="n"/>
      <c r="I31" s="3" t="n"/>
      <c r="J31" s="3" t="n">
        <v>1</v>
      </c>
      <c r="K31" s="3" t="inlineStr">
        <is>
          <t>money_alt</t>
        </is>
      </c>
      <c r="L31" s="3" t="inlineStr">
        <is>
          <t>meta_info=plan=first; rand_reward={"all":[{"asset":"Stuff_Booster_CleanPot","amount":4},{"asset":"RecoverPlantBooster","amount":20},{"asset":"AccelerationPlantBooster","amount":20},{"asset":"AccelerateCraftingBooster","amount":30},{"asset":"Shop_of_miracles_GR_1","amount":50}]}</t>
        </is>
      </c>
    </row>
    <row r="32">
      <c r="A32" s="1" t="n">
        <v>4</v>
      </c>
      <c r="B32" s="1" t="inlineStr">
        <is>
          <t>main_resource</t>
        </is>
      </c>
      <c r="C32" s="4" t="inlineStr">
        <is>
          <t>Adventure_GR_3</t>
        </is>
      </c>
      <c r="D32" s="2" t="inlineStr">
        <is>
          <t>Adventure_GR_4</t>
        </is>
      </c>
      <c r="E32" s="2" t="inlineStr">
        <is>
          <t>Сказочка</t>
        </is>
      </c>
      <c r="F32" s="2" t="n"/>
      <c r="G32" s="3" t="n"/>
      <c r="H32" s="3" t="n"/>
      <c r="I32" s="3" t="inlineStr">
        <is>
          <t>quest_resource</t>
        </is>
      </c>
      <c r="J32" s="3" t="n"/>
      <c r="K32" s="3" t="n"/>
      <c r="L32" s="3" t="inlineStr">
        <is>
          <t>is_hidden=1; inventory_section=constructor; id=81706</t>
        </is>
      </c>
    </row>
    <row r="33" ht="45" customHeight="1">
      <c r="A33" s="1" t="n">
        <v>4</v>
      </c>
      <c r="B33" s="1" t="inlineStr">
        <is>
          <t>pet</t>
        </is>
      </c>
      <c r="C33" s="4" t="inlineStr">
        <is>
          <t>Pet17_Sport_9</t>
        </is>
      </c>
      <c r="D33" s="3" t="inlineStr">
        <is>
          <t>Pet17_Adventure_4_4</t>
        </is>
      </c>
      <c r="E33" s="2" t="inlineStr">
        <is>
          <t>Рыбка</t>
        </is>
      </c>
      <c r="F33" s="2" t="inlineStr">
        <is>
          <t xml:space="preserve">Настоящая принцесса подводного царства! В нарядном голубом платье и золотой короне она исполняет добрые желания и приносит удачу. </t>
        </is>
      </c>
      <c r="G33" s="3" t="inlineStr">
        <is>
          <t>Злата</t>
        </is>
      </c>
      <c r="H33" s="3" t="inlineStr">
        <is>
          <t>Уникальный крохонька. Можно получить только в Сказочных приключениях.</t>
        </is>
      </c>
      <c r="I33" s="3" t="inlineStr">
        <is>
          <t>pet17</t>
        </is>
      </c>
      <c r="J33" s="3" t="inlineStr">
        <is>
          <t>open_price=money_alt=30000</t>
        </is>
      </c>
      <c r="K33" s="3" t="n"/>
      <c r="L33" s="3" t="inlineStr">
        <is>
          <t>event_frame=Adventure_4; feed_price=asset=Boglaz:1; title_feed=От 100% до 0% Сытость падает за 3д. Одно кормление прибавляет 80% Сытости.</t>
        </is>
      </c>
    </row>
    <row r="34" ht="45" customHeight="1">
      <c r="A34" s="1" t="n">
        <v>4</v>
      </c>
      <c r="B34" s="1" t="inlineStr">
        <is>
          <t>collection_item</t>
        </is>
      </c>
      <c r="C34" s="4" t="inlineStr">
        <is>
          <t>TrophyPet17_Sport_9</t>
        </is>
      </c>
      <c r="D34" s="2" t="inlineStr">
        <is>
          <t>TrophyPet17_Adventure_4_4</t>
        </is>
      </c>
      <c r="E34" s="2" t="inlineStr">
        <is>
          <t>Медалька "Рыбка"</t>
        </is>
      </c>
      <c r="F34" s="2" t="inlineStr">
        <is>
          <t>Раз в день можно получить бонус.</t>
        </is>
      </c>
      <c r="G34" s="3" t="n"/>
      <c r="H34" s="3" t="n"/>
      <c r="I34" s="3" t="n"/>
      <c r="J34" s="3" t="n"/>
      <c r="K34" s="3" t="n"/>
      <c r="L34" s="3" t="inlineStr">
        <is>
          <t>rand_reward.one_of=[{"xp":600,"p":38},{"xp":1200,"p":33},{"asset":"DomovoySpeedModifier_12h","amount":1,"p":20},{"asset":"Boglaz","amount":1,"p":5},{"money":1,"p":4}]</t>
        </is>
      </c>
    </row>
    <row r="35">
      <c r="A35" s="1" t="n">
        <v>4</v>
      </c>
      <c r="B35" s="1" t="inlineStr">
        <is>
          <t>furniture</t>
        </is>
      </c>
      <c r="C35" s="4" t="inlineStr">
        <is>
          <t>Adventure_3_Sport_Reward_9</t>
        </is>
      </c>
      <c r="D35" s="2" t="inlineStr">
        <is>
          <t>Adventure_4_4_Reward_1</t>
        </is>
      </c>
      <c r="E35" s="2" t="inlineStr">
        <is>
          <t>Декор "Очень много желаний"</t>
        </is>
      </c>
      <c r="F35" s="2" t="inlineStr">
        <is>
          <t>Наглость - второе счастье!</t>
        </is>
      </c>
      <c r="G35" s="3" t="n"/>
      <c r="H35" s="3" t="n"/>
      <c r="I35" s="3" t="inlineStr">
        <is>
          <t>big</t>
        </is>
      </c>
      <c r="J35" s="3" t="n">
        <v>9</v>
      </c>
      <c r="K35" s="3" t="inlineStr">
        <is>
          <t>money</t>
        </is>
      </c>
      <c r="L35" s="3" t="inlineStr">
        <is>
          <t>inventory_section=big;</t>
        </is>
      </c>
    </row>
    <row r="36" ht="30" customHeight="1">
      <c r="A36" s="1" t="n">
        <v>4</v>
      </c>
      <c r="B36" s="1" t="inlineStr">
        <is>
          <t>pot_multi</t>
        </is>
      </c>
      <c r="C36" s="4" t="inlineStr">
        <is>
          <t>Adventure_3_Sport_Pot_Multi_9</t>
        </is>
      </c>
      <c r="D36" s="2" t="inlineStr">
        <is>
          <t>Adventure_4_4_Pot_Multi_1</t>
        </is>
      </c>
      <c r="E36" s="2" t="inlineStr">
        <is>
          <t>Мечта хозяюшки "Золотая рыбка"</t>
        </is>
      </c>
      <c r="F36" s="2" t="inlineStr">
        <is>
          <t>Горшочек сочный любимый. Выращивай в нём по 5 цветов за раз!</t>
        </is>
      </c>
      <c r="G36" s="3" t="n"/>
      <c r="H36" s="3" t="n"/>
      <c r="I36" s="3" t="inlineStr">
        <is>
          <t>multiflower</t>
        </is>
      </c>
      <c r="J36" s="3" t="n">
        <v>30</v>
      </c>
      <c r="K36" s="3" t="inlineStr">
        <is>
          <t>money</t>
        </is>
      </c>
      <c r="L36" s="3" t="n"/>
    </row>
    <row r="37" ht="30" customHeight="1">
      <c r="A37" s="1" t="n">
        <v>4</v>
      </c>
      <c r="B37" s="1" t="inlineStr">
        <is>
          <t>pot_multi_magic</t>
        </is>
      </c>
      <c r="C37" s="4" t="inlineStr">
        <is>
          <t>Adventure_3_Sport_Pot_Multi_Magic_9</t>
        </is>
      </c>
      <c r="D37" s="2" t="inlineStr">
        <is>
          <t>Adventure_4_4_Pot_Multi_Magic</t>
        </is>
      </c>
      <c r="E37" s="2" t="inlineStr">
        <is>
          <t>Волшебная мечта хозяюшки "Морская звезда"</t>
        </is>
      </c>
      <c r="F37" s="2" t="inlineStr">
        <is>
          <t>Со дна морского, а теперь у тебя! Выращивай сразу 5 волшебных цветочков!</t>
        </is>
      </c>
      <c r="G37" s="3" t="n"/>
      <c r="H37" s="3" t="n"/>
      <c r="I37" s="3" t="inlineStr">
        <is>
          <t>multimagic</t>
        </is>
      </c>
      <c r="J37" s="3" t="n">
        <v>50</v>
      </c>
      <c r="K37" s="3" t="inlineStr">
        <is>
          <t>money</t>
        </is>
      </c>
      <c r="L37" s="3" t="n"/>
    </row>
    <row r="38">
      <c r="A38" s="1" t="n">
        <v>4</v>
      </c>
      <c r="B38" s="1" t="inlineStr">
        <is>
          <t>trophy</t>
        </is>
      </c>
      <c r="C38" s="4" t="inlineStr">
        <is>
          <t>TrophyPet17_Sport_9</t>
        </is>
      </c>
      <c r="D38" s="2" t="inlineStr">
        <is>
          <t>TrophyPet17_Adventure_4_4</t>
        </is>
      </c>
      <c r="E38" s="2" t="inlineStr">
        <is>
          <t>Рыбка</t>
        </is>
      </c>
      <c r="F38" s="2" t="n"/>
      <c r="G38" s="3" t="n"/>
      <c r="H38" s="3" t="n"/>
      <c r="I38" s="3" t="n"/>
      <c r="J38" s="3" t="n"/>
      <c r="K38" s="3" t="n"/>
      <c r="L38" s="3" t="inlineStr">
        <is>
          <t>quest/trophy; find=replace=TrophyPet17_Sport_9</t>
        </is>
      </c>
    </row>
    <row r="39" ht="45" customHeight="1">
      <c r="A39" s="1" t="n">
        <v>4</v>
      </c>
      <c r="B39" s="1" t="inlineStr">
        <is>
          <t>box_1</t>
        </is>
      </c>
      <c r="C39" s="4" t="inlineStr">
        <is>
          <t>Adventure_3_Sport_Box_1</t>
        </is>
      </c>
      <c r="D39" s="2" t="inlineStr">
        <is>
          <t>Adventure_4_Box_1</t>
        </is>
      </c>
      <c r="E39" s="2" t="inlineStr">
        <is>
          <t>Коробка с подарками</t>
        </is>
      </c>
      <c r="F39" s="2" t="inlineStr">
        <is>
          <t>Содержит волшебную синюю жабу, дающую грошики раз в день.</t>
        </is>
      </c>
      <c r="G39" s="3" t="n"/>
      <c r="H39" s="3" t="n"/>
      <c r="I39" s="3" t="n"/>
      <c r="J39" s="3" t="n">
        <v>1</v>
      </c>
      <c r="K39" s="3" t="inlineStr">
        <is>
          <t>money_alt</t>
        </is>
      </c>
      <c r="L39" s="3" t="inlineStr">
        <is>
          <t>meta_info=plan=first; rand_reward={"all":[{"asset":"MoneyboxFrogBlue","amount":1},{"asset":"Shop_of_miracles_GR_1","amount":20}]}</t>
        </is>
      </c>
    </row>
    <row r="40" ht="75" customHeight="1">
      <c r="A40" s="1" t="n">
        <v>4</v>
      </c>
      <c r="B40" s="1" t="inlineStr">
        <is>
          <t>box_2</t>
        </is>
      </c>
      <c r="C40" s="4" t="inlineStr">
        <is>
          <t>Adventure_3_Sport_Box_2</t>
        </is>
      </c>
      <c r="D40" s="2" t="inlineStr">
        <is>
          <t>Adventure_4_Box_2</t>
        </is>
      </c>
      <c r="E40" s="2" t="inlineStr">
        <is>
          <t>Коробка с подарками</t>
        </is>
      </c>
      <c r="F40" s="2" t="inlineStr">
        <is>
          <t>Содержит: 2 бустера для мгновенной уборки мусора со всех горшков в локации, 15 оживителей, 15 ускорителей, 20 жетонов</t>
        </is>
      </c>
      <c r="G40" s="3" t="n"/>
      <c r="H40" s="3" t="n"/>
      <c r="I40" s="3" t="n"/>
      <c r="J40" s="3" t="n">
        <v>1</v>
      </c>
      <c r="K40" s="3" t="inlineStr">
        <is>
          <t>money_alt</t>
        </is>
      </c>
      <c r="L40" s="3" t="inlineStr">
        <is>
          <t>meta_info=plan=first; rand_reward={"all":[{"asset":"Stuff_Booster_CleanPot","amount":2},{"asset":"RecoverPlantBooster","amount":15},{"asset":"AccelerationPlantBooster","amount":15},{"asset":"AccelerateCraftingBooster","amount":20},{"asset":"Shop_of_miracles_GR_1","amount":30}]}</t>
        </is>
      </c>
    </row>
    <row r="41" ht="75" customHeight="1">
      <c r="A41" s="1" t="n">
        <v>4</v>
      </c>
      <c r="B41" s="1" t="inlineStr">
        <is>
          <t>box_3</t>
        </is>
      </c>
      <c r="C41" s="4" t="inlineStr">
        <is>
          <t>Adventure_3_Sport_Box_3</t>
        </is>
      </c>
      <c r="D41" s="2" t="inlineStr">
        <is>
          <t>Adventure_4_Box_3</t>
        </is>
      </c>
      <c r="E41" s="2" t="inlineStr">
        <is>
          <t>Коробка с подарками</t>
        </is>
      </c>
      <c r="F41" s="2" t="inlineStr">
        <is>
          <t>Коробка содержит: 4 бустеров для мгновенной уборки мусора со всех горшков в локации, 20 оживителей, 20 ускорителей, 30 жетонов</t>
        </is>
      </c>
      <c r="G41" s="3" t="n"/>
      <c r="H41" s="3" t="n"/>
      <c r="I41" s="3" t="n"/>
      <c r="J41" s="3" t="n">
        <v>1</v>
      </c>
      <c r="K41" s="3" t="inlineStr">
        <is>
          <t>money_alt</t>
        </is>
      </c>
      <c r="L41" s="3" t="inlineStr">
        <is>
          <t>meta_info=plan=first; rand_reward={"all":[{"asset":"Stuff_Booster_CleanPot","amount":4},{"asset":"RecoverPlantBooster","amount":20},{"asset":"AccelerationPlantBooster","amount":20},{"asset":"AccelerateCraftingBooster","amount":30},{"asset":"Shop_of_miracles_GR_1","amount":50}]}</t>
        </is>
      </c>
    </row>
    <row r="42">
      <c r="A42" s="1" t="n">
        <v>5</v>
      </c>
      <c r="B42" s="1" t="inlineStr">
        <is>
          <t>main_resource</t>
        </is>
      </c>
      <c r="C42" s="4" t="inlineStr">
        <is>
          <t>Adventure_GR_3</t>
        </is>
      </c>
      <c r="D42" s="2" t="inlineStr">
        <is>
          <t>Adventure_GR_4</t>
        </is>
      </c>
      <c r="E42" s="2" t="inlineStr">
        <is>
          <t>Сказочка</t>
        </is>
      </c>
      <c r="F42" s="2" t="n"/>
      <c r="G42" s="3" t="n"/>
      <c r="H42" s="3" t="n"/>
      <c r="I42" s="3" t="inlineStr">
        <is>
          <t>quest_resource</t>
        </is>
      </c>
      <c r="J42" s="3" t="n"/>
      <c r="K42" s="3" t="n"/>
      <c r="L42" s="3" t="inlineStr">
        <is>
          <t>is_hidden=1; inventory_section=constructor; id=81706</t>
        </is>
      </c>
    </row>
    <row r="43" ht="45" customHeight="1">
      <c r="A43" s="1" t="n">
        <v>5</v>
      </c>
      <c r="B43" s="1" t="inlineStr">
        <is>
          <t>pet</t>
        </is>
      </c>
      <c r="C43" s="4" t="inlineStr">
        <is>
          <t>Pet17_Sport_9</t>
        </is>
      </c>
      <c r="D43" s="3" t="inlineStr">
        <is>
          <t>Pet17_Adventure_4_5</t>
        </is>
      </c>
      <c r="E43" s="2" t="inlineStr">
        <is>
          <t>Козлёнок</t>
        </is>
      </c>
      <c r="F43" s="2" t="inlineStr">
        <is>
          <t xml:space="preserve">Эта пушистая малышка — воплощение нежности и доброты! Если она рядом — станет теплее на душе! </t>
        </is>
      </c>
      <c r="G43" s="3" t="inlineStr">
        <is>
          <t>Облачко</t>
        </is>
      </c>
      <c r="H43" s="3" t="inlineStr">
        <is>
          <t>Уникальный крохонька. Можно получить только в Сказочных приключениях.</t>
        </is>
      </c>
      <c r="I43" s="3" t="inlineStr">
        <is>
          <t>pet17</t>
        </is>
      </c>
      <c r="J43" s="3" t="inlineStr">
        <is>
          <t>open_price=money_alt=30000</t>
        </is>
      </c>
      <c r="K43" s="3" t="n"/>
      <c r="L43" s="3" t="inlineStr">
        <is>
          <t>event_frame=Adventure_4; feed_price=asset=FreshBread:1; title_feed=От 100% до 0% Сытость падает за 3д. Одно кормление прибавляет 80% Сытости.</t>
        </is>
      </c>
    </row>
    <row r="44" ht="45" customHeight="1">
      <c r="A44" s="1" t="n">
        <v>5</v>
      </c>
      <c r="B44" s="1" t="inlineStr">
        <is>
          <t>collection_item</t>
        </is>
      </c>
      <c r="C44" s="4" t="inlineStr">
        <is>
          <t>TrophyPet17_Sport_9</t>
        </is>
      </c>
      <c r="D44" s="2" t="inlineStr">
        <is>
          <t>TrophyPet17_Adventure_4_5</t>
        </is>
      </c>
      <c r="E44" s="2" t="inlineStr">
        <is>
          <t>Медалька "Козлёнок"</t>
        </is>
      </c>
      <c r="F44" s="2" t="inlineStr">
        <is>
          <t>Раз в день можно получить бонус.</t>
        </is>
      </c>
      <c r="G44" s="3" t="n"/>
      <c r="H44" s="3" t="n"/>
      <c r="I44" s="3" t="n"/>
      <c r="J44" s="3" t="n"/>
      <c r="K44" s="3" t="n"/>
      <c r="L44" s="3" t="inlineStr">
        <is>
          <t>rand_reward.one_of=[{"xp":600,"p":38},{"xp":1200,"p":33},{"asset":"DomovoySpeedModifier_12h","amount":1,"p":20},{"asset":"FreshBread","amount":1,"p":5},{"money":1,"p":4}]</t>
        </is>
      </c>
    </row>
    <row r="45">
      <c r="A45" s="1" t="n">
        <v>5</v>
      </c>
      <c r="B45" s="1" t="inlineStr">
        <is>
          <t>furniture</t>
        </is>
      </c>
      <c r="C45" s="4" t="inlineStr">
        <is>
          <t>Adventure_3_Sport_Reward_9</t>
        </is>
      </c>
      <c r="D45" s="2" t="inlineStr">
        <is>
          <t>Adventure_4_5_Reward_1</t>
        </is>
      </c>
      <c r="E45" s="2" t="inlineStr">
        <is>
          <t>Декор "С друзьями веселее"</t>
        </is>
      </c>
      <c r="F45" s="2" t="inlineStr">
        <is>
          <t>Мы играли в домино, кот, лиса и петушок. РЫБА!</t>
        </is>
      </c>
      <c r="G45" s="3" t="n"/>
      <c r="H45" s="3" t="n"/>
      <c r="I45" s="3" t="inlineStr">
        <is>
          <t>big</t>
        </is>
      </c>
      <c r="J45" s="3" t="n">
        <v>9</v>
      </c>
      <c r="K45" s="3" t="inlineStr">
        <is>
          <t>money</t>
        </is>
      </c>
      <c r="L45" s="3" t="inlineStr">
        <is>
          <t>inventory_section=big;</t>
        </is>
      </c>
    </row>
    <row r="46" ht="30" customHeight="1">
      <c r="A46" s="1" t="n">
        <v>5</v>
      </c>
      <c r="B46" s="1" t="inlineStr">
        <is>
          <t>pot_multi</t>
        </is>
      </c>
      <c r="C46" s="4" t="inlineStr">
        <is>
          <t>Adventure_3_Sport_Pot_Multi_9</t>
        </is>
      </c>
      <c r="D46" s="2" t="inlineStr">
        <is>
          <t>Adventure_4_5_Pot_Multi_1</t>
        </is>
      </c>
      <c r="E46" s="2" t="inlineStr">
        <is>
          <t>Мечта хозяюшки "Волк и семеро козлят"</t>
        </is>
      </c>
      <c r="F46" s="2" t="inlineStr">
        <is>
          <t>Горшочек сочный любимый. Выращивай в нём по 5 цветов за раз!</t>
        </is>
      </c>
      <c r="G46" s="3" t="n"/>
      <c r="H46" s="3" t="n"/>
      <c r="I46" s="3" t="inlineStr">
        <is>
          <t>multiflower</t>
        </is>
      </c>
      <c r="J46" s="3" t="n">
        <v>30</v>
      </c>
      <c r="K46" s="3" t="inlineStr">
        <is>
          <t>money</t>
        </is>
      </c>
      <c r="L46" s="3" t="n"/>
    </row>
    <row r="47" ht="30" customHeight="1">
      <c r="A47" s="1" t="n">
        <v>5</v>
      </c>
      <c r="B47" s="1" t="inlineStr">
        <is>
          <t>pot_multi_magic</t>
        </is>
      </c>
      <c r="C47" s="4" t="inlineStr">
        <is>
          <t>Adventure_3_Sport_Pot_Multi_Magic_9</t>
        </is>
      </c>
      <c r="D47" s="2" t="inlineStr">
        <is>
          <t>Adventure_4_5_Pot_Multi_Magic</t>
        </is>
      </c>
      <c r="E47" s="2" t="inlineStr">
        <is>
          <t>Волшебная мечта хозяюшки "Молочко"</t>
        </is>
      </c>
      <c r="F47" s="2" t="inlineStr">
        <is>
          <t>Нет ничего лучше дома родного! Выращивай сразу 5 волшебных цветочков!</t>
        </is>
      </c>
      <c r="G47" s="3" t="n"/>
      <c r="H47" s="3" t="n"/>
      <c r="I47" s="3" t="inlineStr">
        <is>
          <t>multimagic</t>
        </is>
      </c>
      <c r="J47" s="3" t="n">
        <v>50</v>
      </c>
      <c r="K47" s="3" t="inlineStr">
        <is>
          <t>money</t>
        </is>
      </c>
      <c r="L47" s="3" t="n"/>
    </row>
    <row r="48">
      <c r="A48" s="1" t="n">
        <v>5</v>
      </c>
      <c r="B48" s="1" t="inlineStr">
        <is>
          <t>trophy</t>
        </is>
      </c>
      <c r="C48" s="4" t="inlineStr">
        <is>
          <t>TrophyPet17_Sport_9</t>
        </is>
      </c>
      <c r="D48" s="2" t="inlineStr">
        <is>
          <t>TrophyPet17_Adventure_4_5</t>
        </is>
      </c>
      <c r="E48" s="2" t="inlineStr">
        <is>
          <t>Козлёнок</t>
        </is>
      </c>
      <c r="F48" s="2" t="n"/>
      <c r="G48" s="3" t="n"/>
      <c r="H48" s="3" t="n"/>
      <c r="I48" s="3" t="n"/>
      <c r="J48" s="3" t="n"/>
      <c r="K48" s="3" t="n"/>
      <c r="L48" s="3" t="inlineStr">
        <is>
          <t>quest/trophy; find=replace=TrophyPet17_Sport_9</t>
        </is>
      </c>
    </row>
    <row r="49" ht="45" customHeight="1">
      <c r="A49" s="1" t="n">
        <v>5</v>
      </c>
      <c r="B49" s="1" t="inlineStr">
        <is>
          <t>box_1</t>
        </is>
      </c>
      <c r="C49" s="4" t="inlineStr">
        <is>
          <t>Adventure_3_Sport_Box_1</t>
        </is>
      </c>
      <c r="D49" s="2" t="inlineStr">
        <is>
          <t>Adventure_4_Box_1</t>
        </is>
      </c>
      <c r="E49" s="2" t="inlineStr">
        <is>
          <t>Коробка с подарками</t>
        </is>
      </c>
      <c r="F49" s="2" t="inlineStr">
        <is>
          <t>Содержит волшебную синюю жабу, дающую грошики раз в день.</t>
        </is>
      </c>
      <c r="G49" s="3" t="n"/>
      <c r="H49" s="3" t="n"/>
      <c r="I49" s="3" t="n"/>
      <c r="J49" s="3" t="n">
        <v>1</v>
      </c>
      <c r="K49" s="3" t="inlineStr">
        <is>
          <t>money_alt</t>
        </is>
      </c>
      <c r="L49" s="3" t="inlineStr">
        <is>
          <t>meta_info=plan=first; rand_reward={"all":[{"asset":"MoneyboxFrogBlue","amount":1},{"asset":"Shop_of_miracles_GR_1","amount":20}]}</t>
        </is>
      </c>
    </row>
    <row r="50" ht="75" customHeight="1">
      <c r="A50" s="1" t="n">
        <v>5</v>
      </c>
      <c r="B50" s="1" t="inlineStr">
        <is>
          <t>box_2</t>
        </is>
      </c>
      <c r="C50" s="4" t="inlineStr">
        <is>
          <t>Adventure_3_Sport_Box_2</t>
        </is>
      </c>
      <c r="D50" s="2" t="inlineStr">
        <is>
          <t>Adventure_4_Box_2</t>
        </is>
      </c>
      <c r="E50" s="2" t="inlineStr">
        <is>
          <t>Коробка с подарками</t>
        </is>
      </c>
      <c r="F50" s="2" t="inlineStr">
        <is>
          <t>Содержит: 2 бустера для мгновенной уборки мусора со всех горшков в локации, 15 оживителей, 15 ускорителей, 20 жетонов</t>
        </is>
      </c>
      <c r="G50" s="3" t="n"/>
      <c r="H50" s="3" t="n"/>
      <c r="I50" s="3" t="n"/>
      <c r="J50" s="3" t="n">
        <v>1</v>
      </c>
      <c r="K50" s="3" t="inlineStr">
        <is>
          <t>money_alt</t>
        </is>
      </c>
      <c r="L50" s="3" t="inlineStr">
        <is>
          <t>meta_info=plan=first; rand_reward={"all":[{"asset":"Stuff_Booster_CleanPot","amount":2},{"asset":"RecoverPlantBooster","amount":15},{"asset":"AccelerationPlantBooster","amount":15},{"asset":"AccelerateCraftingBooster","amount":20},{"asset":"Shop_of_miracles_GR_1","amount":30}]}</t>
        </is>
      </c>
    </row>
    <row r="51" ht="75" customHeight="1">
      <c r="A51" s="1" t="n">
        <v>5</v>
      </c>
      <c r="B51" s="1" t="inlineStr">
        <is>
          <t>box_3</t>
        </is>
      </c>
      <c r="C51" s="4" t="inlineStr">
        <is>
          <t>Adventure_3_Sport_Box_3</t>
        </is>
      </c>
      <c r="D51" s="2" t="inlineStr">
        <is>
          <t>Adventure_4_Box_3</t>
        </is>
      </c>
      <c r="E51" s="2" t="inlineStr">
        <is>
          <t>Коробка с подарками</t>
        </is>
      </c>
      <c r="F51" s="2" t="inlineStr">
        <is>
          <t>Коробка содержит: 4 бустеров для мгновенной уборки мусора со всех горшков в локации, 20 оживителей, 20 ускорителей, 30 жетонов</t>
        </is>
      </c>
      <c r="G51" s="3" t="n"/>
      <c r="H51" s="3" t="n"/>
      <c r="I51" s="3" t="n"/>
      <c r="J51" s="3" t="n">
        <v>1</v>
      </c>
      <c r="K51" s="3" t="inlineStr">
        <is>
          <t>money_alt</t>
        </is>
      </c>
      <c r="L51" s="3" t="inlineStr">
        <is>
          <t>meta_info=plan=first; rand_reward={"all":[{"asset":"Stuff_Booster_CleanPot","amount":4},{"asset":"RecoverPlantBooster","amount":20},{"asset":"AccelerationPlantBooster","amount":20},{"asset":"AccelerateCraftingBooster","amount":30},{"asset":"Shop_of_miracles_GR_1","amount":50}]}</t>
        </is>
      </c>
    </row>
    <row r="52">
      <c r="A52" s="1" t="n">
        <v>6</v>
      </c>
      <c r="B52" s="1" t="inlineStr">
        <is>
          <t>main_resource</t>
        </is>
      </c>
      <c r="C52" s="4" t="inlineStr">
        <is>
          <t>Adventure_GR_3</t>
        </is>
      </c>
      <c r="D52" s="2" t="inlineStr">
        <is>
          <t>Adventure_GR_4</t>
        </is>
      </c>
      <c r="E52" s="2" t="inlineStr">
        <is>
          <t>Сказочка</t>
        </is>
      </c>
      <c r="F52" s="2" t="n"/>
      <c r="G52" s="3" t="n"/>
      <c r="H52" s="3" t="n"/>
      <c r="I52" s="3" t="inlineStr">
        <is>
          <t>quest_resource</t>
        </is>
      </c>
      <c r="J52" s="3" t="n"/>
      <c r="K52" s="3" t="n"/>
      <c r="L52" s="3" t="inlineStr">
        <is>
          <t>is_hidden=1; inventory_section=constructor; id=81706</t>
        </is>
      </c>
    </row>
    <row r="53" ht="45" customHeight="1">
      <c r="A53" s="1" t="n">
        <v>6</v>
      </c>
      <c r="B53" s="1" t="inlineStr">
        <is>
          <t>pet</t>
        </is>
      </c>
      <c r="C53" s="4" t="inlineStr">
        <is>
          <t>Pet17_Sport_9</t>
        </is>
      </c>
      <c r="D53" s="3" t="inlineStr">
        <is>
          <t>Pet17_Adventure_4_6</t>
        </is>
      </c>
      <c r="E53" s="2" t="inlineStr">
        <is>
          <t>Петушок</t>
        </is>
      </c>
      <c r="F53" s="2" t="inlineStr">
        <is>
          <t>Этот пушистый красавец — настоящий вестник добрых новостей! Если он рядом — день обязательно будет ярким, весёлым и полным приятных сюрпризов!</t>
        </is>
      </c>
      <c r="G53" s="3" t="inlineStr">
        <is>
          <t>Лучик</t>
        </is>
      </c>
      <c r="H53" s="3" t="inlineStr">
        <is>
          <t>Уникальный крохонька. Можно получить только в Сказочных приключениях.</t>
        </is>
      </c>
      <c r="I53" s="3" t="inlineStr">
        <is>
          <t>pet17</t>
        </is>
      </c>
      <c r="J53" s="3" t="inlineStr">
        <is>
          <t>open_price=money_alt=30000</t>
        </is>
      </c>
      <c r="K53" s="3" t="n"/>
      <c r="L53" s="3" t="inlineStr">
        <is>
          <t>event_frame=Adventure_4; feed_price=asset=BuckwheatPot:1; title_feed=От 100% до 0% Сытость падает за 3д. Одно кормление прибавляет 80% Сытости.</t>
        </is>
      </c>
    </row>
    <row r="54" ht="45" customHeight="1">
      <c r="A54" s="1" t="n">
        <v>6</v>
      </c>
      <c r="B54" s="1" t="inlineStr">
        <is>
          <t>collection_item</t>
        </is>
      </c>
      <c r="C54" s="4" t="inlineStr">
        <is>
          <t>TrophyPet17_Sport_9</t>
        </is>
      </c>
      <c r="D54" s="2" t="inlineStr">
        <is>
          <t>TrophyPet17_Adventure_4_6</t>
        </is>
      </c>
      <c r="E54" s="2" t="inlineStr">
        <is>
          <t>Медалька "Петушок"</t>
        </is>
      </c>
      <c r="F54" s="2" t="inlineStr">
        <is>
          <t>Раз в день можно получить бонус.</t>
        </is>
      </c>
      <c r="G54" s="3" t="n"/>
      <c r="H54" s="3" t="n"/>
      <c r="I54" s="3" t="n"/>
      <c r="J54" s="3" t="n"/>
      <c r="K54" s="3" t="n"/>
      <c r="L54" s="3" t="inlineStr">
        <is>
          <t>rand_reward.one_of=[{"xp":600,"p":38},{"xp":1200,"p":33},{"asset":"DomovoySpeedModifier_12h","amount":1,"p":20},{"asset":"BuckwheatPot","amount":1,"p":5},{"money":1,"p":4}]</t>
        </is>
      </c>
    </row>
    <row r="55">
      <c r="A55" s="1" t="n">
        <v>6</v>
      </c>
      <c r="B55" s="1" t="inlineStr">
        <is>
          <t>furniture</t>
        </is>
      </c>
      <c r="C55" s="4" t="inlineStr">
        <is>
          <t>Adventure_3_Sport_Reward_9</t>
        </is>
      </c>
      <c r="D55" s="2" t="inlineStr">
        <is>
          <t>Adventure_4_6_Reward_1</t>
        </is>
      </c>
      <c r="E55" s="2" t="inlineStr">
        <is>
          <t>Декор "Сладких снов"</t>
        </is>
      </c>
      <c r="F55" s="2" t="inlineStr">
        <is>
          <t>Подружиться, наиграться и сладко поспать!</t>
        </is>
      </c>
      <c r="G55" s="3" t="n"/>
      <c r="H55" s="3" t="n"/>
      <c r="I55" s="3" t="inlineStr">
        <is>
          <t>big</t>
        </is>
      </c>
      <c r="J55" s="3" t="n">
        <v>9</v>
      </c>
      <c r="K55" s="3" t="inlineStr">
        <is>
          <t>money</t>
        </is>
      </c>
      <c r="L55" s="3" t="inlineStr">
        <is>
          <t>inventory_section=big;</t>
        </is>
      </c>
    </row>
    <row r="56" ht="30" customHeight="1">
      <c r="A56" s="1" t="n">
        <v>6</v>
      </c>
      <c r="B56" s="1" t="inlineStr">
        <is>
          <t>pot_multi</t>
        </is>
      </c>
      <c r="C56" s="4" t="inlineStr">
        <is>
          <t>Adventure_3_Sport_Pot_Multi_9</t>
        </is>
      </c>
      <c r="D56" s="2" t="inlineStr">
        <is>
          <t>Adventure_4_6_Pot_Multi_1</t>
        </is>
      </c>
      <c r="E56" s="2" t="inlineStr">
        <is>
          <t>Мечта хозяюшки "петушок золотой гребешок"</t>
        </is>
      </c>
      <c r="F56" s="2" t="inlineStr">
        <is>
          <t>Горшочек сочный любимый. Выращивай в нём по 5 цветов за раз!</t>
        </is>
      </c>
      <c r="G56" s="3" t="n"/>
      <c r="H56" s="3" t="n"/>
      <c r="I56" s="3" t="inlineStr">
        <is>
          <t>multiflower</t>
        </is>
      </c>
      <c r="J56" s="3" t="n">
        <v>30</v>
      </c>
      <c r="K56" s="3" t="inlineStr">
        <is>
          <t>money</t>
        </is>
      </c>
      <c r="L56" s="3" t="n"/>
    </row>
    <row r="57" ht="30" customHeight="1">
      <c r="A57" s="1" t="n">
        <v>6</v>
      </c>
      <c r="B57" s="1" t="inlineStr">
        <is>
          <t>pot_multi_magic</t>
        </is>
      </c>
      <c r="C57" s="4" t="inlineStr">
        <is>
          <t>Adventure_3_Sport_Pot_Multi_Magic_9</t>
        </is>
      </c>
      <c r="D57" s="2" t="inlineStr">
        <is>
          <t>Adventure_4_6_Pot_Multi_Magic</t>
        </is>
      </c>
      <c r="E57" s="2" t="inlineStr">
        <is>
          <t>Волшебная мечта хозяюшки "Дом, милый дом"</t>
        </is>
      </c>
      <c r="F57" s="2" t="inlineStr">
        <is>
          <t>Самое питательное, самое жирное, самое вкусное! Выращивай сразу 5 волшебных цветочков!</t>
        </is>
      </c>
      <c r="G57" s="3" t="n"/>
      <c r="H57" s="3" t="n"/>
      <c r="I57" s="3" t="inlineStr">
        <is>
          <t>multimagic</t>
        </is>
      </c>
      <c r="J57" s="3" t="n">
        <v>50</v>
      </c>
      <c r="K57" s="3" t="inlineStr">
        <is>
          <t>money</t>
        </is>
      </c>
      <c r="L57" s="3" t="n"/>
    </row>
    <row r="58">
      <c r="A58" s="1" t="n">
        <v>6</v>
      </c>
      <c r="B58" s="1" t="inlineStr">
        <is>
          <t>trophy</t>
        </is>
      </c>
      <c r="C58" s="4" t="inlineStr">
        <is>
          <t>TrophyPet17_Sport_9</t>
        </is>
      </c>
      <c r="D58" s="2" t="inlineStr">
        <is>
          <t>TrophyPet17_Adventure_4_6</t>
        </is>
      </c>
      <c r="E58" s="2" t="inlineStr">
        <is>
          <t>Петушок</t>
        </is>
      </c>
      <c r="F58" s="2" t="n"/>
      <c r="G58" s="3" t="n"/>
      <c r="H58" s="3" t="n"/>
      <c r="I58" s="3" t="n"/>
      <c r="J58" s="3" t="n"/>
      <c r="K58" s="3" t="n"/>
      <c r="L58" s="3" t="inlineStr">
        <is>
          <t>quest/trophy; find=replace=TrophyPet17_Sport_9</t>
        </is>
      </c>
    </row>
    <row r="59" ht="45" customHeight="1">
      <c r="A59" s="1" t="n">
        <v>6</v>
      </c>
      <c r="B59" s="1" t="inlineStr">
        <is>
          <t>box_1</t>
        </is>
      </c>
      <c r="C59" s="4" t="inlineStr">
        <is>
          <t>Adventure_3_Sport_Box_1</t>
        </is>
      </c>
      <c r="D59" s="2" t="inlineStr">
        <is>
          <t>Adventure_4_Box_1</t>
        </is>
      </c>
      <c r="E59" s="2" t="inlineStr">
        <is>
          <t>Коробка с подарками</t>
        </is>
      </c>
      <c r="F59" s="2" t="inlineStr">
        <is>
          <t>Содержит волшебную синюю жабу, дающую грошики раз в день.</t>
        </is>
      </c>
      <c r="G59" s="3" t="n"/>
      <c r="H59" s="3" t="n"/>
      <c r="I59" s="3" t="n"/>
      <c r="J59" s="3" t="n">
        <v>1</v>
      </c>
      <c r="K59" s="3" t="inlineStr">
        <is>
          <t>money_alt</t>
        </is>
      </c>
      <c r="L59" s="3" t="inlineStr">
        <is>
          <t>meta_info=plan=first; rand_reward={"all":[{"asset":"MoneyboxFrogBlue","amount":1},{"asset":"Shop_of_miracles_GR_1","amount":20}]}</t>
        </is>
      </c>
    </row>
    <row r="60" ht="75" customHeight="1">
      <c r="A60" s="1" t="n">
        <v>6</v>
      </c>
      <c r="B60" s="1" t="inlineStr">
        <is>
          <t>box_2</t>
        </is>
      </c>
      <c r="C60" s="4" t="inlineStr">
        <is>
          <t>Adventure_3_Sport_Box_2</t>
        </is>
      </c>
      <c r="D60" s="2" t="inlineStr">
        <is>
          <t>Adventure_4_Box_2</t>
        </is>
      </c>
      <c r="E60" s="2" t="inlineStr">
        <is>
          <t>Коробка с подарками</t>
        </is>
      </c>
      <c r="F60" s="2" t="inlineStr">
        <is>
          <t>Содержит: 2 бустера для мгновенной уборки мусора со всех горшков в локации, 15 оживителей, 15 ускорителей, 20 жетонов</t>
        </is>
      </c>
      <c r="G60" s="3" t="n"/>
      <c r="H60" s="3" t="n"/>
      <c r="I60" s="3" t="n"/>
      <c r="J60" s="3" t="n">
        <v>1</v>
      </c>
      <c r="K60" s="3" t="inlineStr">
        <is>
          <t>money_alt</t>
        </is>
      </c>
      <c r="L60" s="3" t="inlineStr">
        <is>
          <t>meta_info=plan=first; rand_reward={"all":[{"asset":"Stuff_Booster_CleanPot","amount":2},{"asset":"RecoverPlantBooster","amount":15},{"asset":"AccelerationPlantBooster","amount":15},{"asset":"AccelerateCraftingBooster","amount":20},{"asset":"Shop_of_miracles_GR_1","amount":30}]}</t>
        </is>
      </c>
    </row>
    <row r="61" ht="75" customHeight="1">
      <c r="A61" s="1" t="n">
        <v>6</v>
      </c>
      <c r="B61" s="1" t="inlineStr">
        <is>
          <t>box_3</t>
        </is>
      </c>
      <c r="C61" s="4" t="inlineStr">
        <is>
          <t>Adventure_3_Sport_Box_3</t>
        </is>
      </c>
      <c r="D61" s="2" t="inlineStr">
        <is>
          <t>Adventure_4_Box_3</t>
        </is>
      </c>
      <c r="E61" s="2" t="inlineStr">
        <is>
          <t>Коробка с подарками</t>
        </is>
      </c>
      <c r="F61" s="2" t="inlineStr">
        <is>
          <t>Коробка содержит: 4 бустеров для мгновенной уборки мусора со всех горшков в локации, 20 оживителей, 20 ускорителей, 30 жетонов</t>
        </is>
      </c>
      <c r="G61" s="3" t="n"/>
      <c r="H61" s="3" t="n"/>
      <c r="I61" s="3" t="n"/>
      <c r="J61" s="3" t="n">
        <v>1</v>
      </c>
      <c r="K61" s="3" t="inlineStr">
        <is>
          <t>money_alt</t>
        </is>
      </c>
      <c r="L61" s="3" t="inlineStr">
        <is>
          <t>meta_info=plan=first; rand_reward={"all":[{"asset":"Stuff_Booster_CleanPot","amount":4},{"asset":"RecoverPlantBooster","amount":20},{"asset":"AccelerationPlantBooster","amount":20},{"asset":"AccelerateCraftingBooster","amount":30},{"asset":"Shop_of_miracles_GR_1","amount":50}]}</t>
        </is>
      </c>
    </row>
    <row r="62">
      <c r="A62" s="1" t="n">
        <v>7</v>
      </c>
      <c r="B62" s="1" t="inlineStr">
        <is>
          <t>main_resource</t>
        </is>
      </c>
      <c r="C62" s="4" t="inlineStr">
        <is>
          <t>Adventure_GR_3</t>
        </is>
      </c>
      <c r="D62" s="2" t="inlineStr">
        <is>
          <t>Adventure_GR_4</t>
        </is>
      </c>
      <c r="E62" s="2" t="inlineStr">
        <is>
          <t>Сказочка</t>
        </is>
      </c>
      <c r="F62" s="2" t="n"/>
      <c r="G62" s="3" t="n"/>
      <c r="H62" s="3" t="n"/>
      <c r="I62" s="3" t="inlineStr">
        <is>
          <t>quest_resource</t>
        </is>
      </c>
      <c r="J62" s="3" t="n"/>
      <c r="K62" s="3" t="n"/>
      <c r="L62" s="3" t="inlineStr">
        <is>
          <t>is_hidden=1; inventory_section=constructor; id=81706</t>
        </is>
      </c>
    </row>
    <row r="63" ht="45" customHeight="1">
      <c r="A63" s="1" t="n">
        <v>7</v>
      </c>
      <c r="B63" s="1" t="inlineStr">
        <is>
          <t>pet</t>
        </is>
      </c>
      <c r="C63" s="4" t="inlineStr">
        <is>
          <t>Pet17_Sport_9</t>
        </is>
      </c>
      <c r="D63" s="3" t="inlineStr">
        <is>
          <t>Pet17_Adventure_4_7</t>
        </is>
      </c>
      <c r="E63" s="2" t="inlineStr">
        <is>
          <t>Волчок</t>
        </is>
      </c>
      <c r="F63" s="2" t="inlineStr">
        <is>
          <t>Этот любознательный малыш обожает уютные вечера, добрые книги и тёплое какао! Если он рядом — станет уютнее, а сложная загадка обязательно будет разгадана!</t>
        </is>
      </c>
      <c r="G63" s="3" t="inlineStr">
        <is>
          <t>Умняш</t>
        </is>
      </c>
      <c r="H63" s="3" t="inlineStr">
        <is>
          <t>Уникальный крохонька. Можно получить только в Сказочных приключениях.</t>
        </is>
      </c>
      <c r="I63" s="3" t="inlineStr">
        <is>
          <t>pet17</t>
        </is>
      </c>
      <c r="J63" s="3" t="inlineStr">
        <is>
          <t>open_price=money_alt=30000</t>
        </is>
      </c>
      <c r="K63" s="3" t="n"/>
      <c r="L63" s="3" t="inlineStr">
        <is>
          <t>event_frame=Adventure_4; feed_price=asset=Delicacy:1; title_feed=От 100% до 0% Сытость падает за 3д. Одно кормление прибавляет 80% Сытости.</t>
        </is>
      </c>
    </row>
    <row r="64" ht="45" customHeight="1">
      <c r="A64" s="1" t="n">
        <v>7</v>
      </c>
      <c r="B64" s="1" t="inlineStr">
        <is>
          <t>collection_item</t>
        </is>
      </c>
      <c r="C64" s="4" t="inlineStr">
        <is>
          <t>TrophyPet17_Sport_9</t>
        </is>
      </c>
      <c r="D64" s="2" t="inlineStr">
        <is>
          <t>TrophyPet17_Adventure_4_7</t>
        </is>
      </c>
      <c r="E64" s="2" t="inlineStr">
        <is>
          <t>Медалька "Волчок"</t>
        </is>
      </c>
      <c r="F64" s="2" t="inlineStr">
        <is>
          <t>Раз в день можно получить бонус.</t>
        </is>
      </c>
      <c r="G64" s="3" t="n"/>
      <c r="H64" s="3" t="n"/>
      <c r="I64" s="3" t="n"/>
      <c r="J64" s="3" t="n"/>
      <c r="K64" s="3" t="n"/>
      <c r="L64" s="3" t="inlineStr">
        <is>
          <t>rand_reward.one_of=[{"xp":600,"p":38},{"xp":1200,"p":33},{"asset":"DomovoySpeedModifier_12h","amount":1,"p":20},{"asset":"Delicacy","amount":1,"p":5},{"money":1,"p":4}]</t>
        </is>
      </c>
    </row>
    <row r="65">
      <c r="A65" s="1" t="n">
        <v>7</v>
      </c>
      <c r="B65" s="1" t="inlineStr">
        <is>
          <t>furniture</t>
        </is>
      </c>
      <c r="C65" s="4" t="inlineStr">
        <is>
          <t>Adventure_3_Sport_Reward_9</t>
        </is>
      </c>
      <c r="D65" s="2" t="inlineStr">
        <is>
          <t>Adventure_4_7_Reward_1</t>
        </is>
      </c>
      <c r="E65" s="2" t="inlineStr">
        <is>
          <t>Декор "Чаепитие"</t>
        </is>
      </c>
      <c r="F65" s="2" t="inlineStr">
        <is>
          <t>Красная шапочка и её щенята!</t>
        </is>
      </c>
      <c r="G65" s="3" t="n"/>
      <c r="H65" s="3" t="n"/>
      <c r="I65" s="3" t="inlineStr">
        <is>
          <t>big</t>
        </is>
      </c>
      <c r="J65" s="3" t="n">
        <v>9</v>
      </c>
      <c r="K65" s="3" t="inlineStr">
        <is>
          <t>money</t>
        </is>
      </c>
      <c r="L65" s="3" t="inlineStr">
        <is>
          <t>inventory_section=big;</t>
        </is>
      </c>
    </row>
    <row r="66" ht="30" customHeight="1">
      <c r="A66" s="1" t="n">
        <v>7</v>
      </c>
      <c r="B66" s="1" t="inlineStr">
        <is>
          <t>pot_multi</t>
        </is>
      </c>
      <c r="C66" s="4" t="inlineStr">
        <is>
          <t>Adventure_3_Sport_Pot_Multi_9</t>
        </is>
      </c>
      <c r="D66" s="2" t="inlineStr">
        <is>
          <t>Adventure_4_7_Pot_Multi_1</t>
        </is>
      </c>
      <c r="E66" s="2" t="inlineStr">
        <is>
          <t>Мечта хозяюшки "Волк и семеро козлят"</t>
        </is>
      </c>
      <c r="F66" s="2" t="inlineStr">
        <is>
          <t>Горшочек сочный любимый. Выращивай в нём по 5 цветов за раз!</t>
        </is>
      </c>
      <c r="G66" s="3" t="n"/>
      <c r="H66" s="3" t="n"/>
      <c r="I66" s="3" t="inlineStr">
        <is>
          <t>multiflower</t>
        </is>
      </c>
      <c r="J66" s="3" t="n">
        <v>30</v>
      </c>
      <c r="K66" s="3" t="inlineStr">
        <is>
          <t>money</t>
        </is>
      </c>
      <c r="L66" s="3" t="n"/>
    </row>
    <row r="67" ht="30" customHeight="1">
      <c r="A67" s="1" t="n">
        <v>7</v>
      </c>
      <c r="B67" s="1" t="inlineStr">
        <is>
          <t>pot_multi_magic</t>
        </is>
      </c>
      <c r="C67" s="4" t="inlineStr">
        <is>
          <t>Adventure_3_Sport_Pot_Multi_Magic_9</t>
        </is>
      </c>
      <c r="D67" s="2" t="inlineStr">
        <is>
          <t>Adventure_4_7_Pot_Multi_Magic</t>
        </is>
      </c>
      <c r="E67" s="2" t="inlineStr">
        <is>
          <t>Волшебная мечта хозяюшки "Пирожок"</t>
        </is>
      </c>
      <c r="F67" s="2" t="inlineStr">
        <is>
          <t>Взять с полки и скушать! Выращивай сразу 5 волшебных цветочков!</t>
        </is>
      </c>
      <c r="G67" s="3" t="n"/>
      <c r="H67" s="3" t="n"/>
      <c r="I67" s="3" t="inlineStr">
        <is>
          <t>multimagic</t>
        </is>
      </c>
      <c r="J67" s="3" t="n">
        <v>50</v>
      </c>
      <c r="K67" s="3" t="inlineStr">
        <is>
          <t>money</t>
        </is>
      </c>
      <c r="L67" s="3" t="n"/>
    </row>
    <row r="68">
      <c r="A68" s="1" t="n">
        <v>7</v>
      </c>
      <c r="B68" s="1" t="inlineStr">
        <is>
          <t>trophy</t>
        </is>
      </c>
      <c r="C68" s="4" t="inlineStr">
        <is>
          <t>TrophyPet17_Sport_9</t>
        </is>
      </c>
      <c r="D68" s="2" t="inlineStr">
        <is>
          <t>TrophyPet17_Adventure_4_7</t>
        </is>
      </c>
      <c r="E68" s="2" t="inlineStr">
        <is>
          <t>Волчок</t>
        </is>
      </c>
      <c r="F68" s="2" t="n"/>
      <c r="G68" s="3" t="n"/>
      <c r="H68" s="3" t="n"/>
      <c r="I68" s="3" t="n"/>
      <c r="J68" s="3" t="n"/>
      <c r="K68" s="3" t="n"/>
      <c r="L68" s="3" t="inlineStr">
        <is>
          <t>quest/trophy; find=replace=TrophyPet17_Sport_9</t>
        </is>
      </c>
    </row>
    <row r="69" ht="45" customHeight="1">
      <c r="A69" s="1" t="n">
        <v>7</v>
      </c>
      <c r="B69" s="1" t="inlineStr">
        <is>
          <t>box_1</t>
        </is>
      </c>
      <c r="C69" s="4" t="inlineStr">
        <is>
          <t>Adventure_3_Sport_Box_1</t>
        </is>
      </c>
      <c r="D69" s="2" t="inlineStr">
        <is>
          <t>Adventure_4_Box_1</t>
        </is>
      </c>
      <c r="E69" s="2" t="inlineStr">
        <is>
          <t>Коробка с подарками</t>
        </is>
      </c>
      <c r="F69" s="2" t="inlineStr">
        <is>
          <t>Содержит волшебную синюю жабу, дающую грошики раз в день.</t>
        </is>
      </c>
      <c r="G69" s="3" t="n"/>
      <c r="H69" s="3" t="n"/>
      <c r="I69" s="3" t="n"/>
      <c r="J69" s="3" t="n">
        <v>1</v>
      </c>
      <c r="K69" s="3" t="inlineStr">
        <is>
          <t>money_alt</t>
        </is>
      </c>
      <c r="L69" s="3" t="inlineStr">
        <is>
          <t>meta_info=plan=first; rand_reward={"all":[{"asset":"MoneyboxFrogBlue","amount":1},{"asset":"Shop_of_miracles_GR_1","amount":20}]}</t>
        </is>
      </c>
    </row>
    <row r="70" ht="75" customHeight="1">
      <c r="A70" s="1" t="n">
        <v>7</v>
      </c>
      <c r="B70" s="1" t="inlineStr">
        <is>
          <t>box_2</t>
        </is>
      </c>
      <c r="C70" s="4" t="inlineStr">
        <is>
          <t>Adventure_3_Sport_Box_2</t>
        </is>
      </c>
      <c r="D70" s="2" t="inlineStr">
        <is>
          <t>Adventure_4_Box_2</t>
        </is>
      </c>
      <c r="E70" s="2" t="inlineStr">
        <is>
          <t>Коробка с подарками</t>
        </is>
      </c>
      <c r="F70" s="2" t="inlineStr">
        <is>
          <t>Содержит: 2 бустера для мгновенной уборки мусора со всех горшков в локации, 15 оживителей, 15 ускорителей, 20 жетонов</t>
        </is>
      </c>
      <c r="G70" s="3" t="n"/>
      <c r="H70" s="3" t="n"/>
      <c r="I70" s="3" t="n"/>
      <c r="J70" s="3" t="n">
        <v>1</v>
      </c>
      <c r="K70" s="3" t="inlineStr">
        <is>
          <t>money_alt</t>
        </is>
      </c>
      <c r="L70" s="3" t="inlineStr">
        <is>
          <t>meta_info=plan=first; rand_reward={"all":[{"asset":"Stuff_Booster_CleanPot","amount":2},{"asset":"RecoverPlantBooster","amount":15},{"asset":"AccelerationPlantBooster","amount":15},{"asset":"AccelerateCraftingBooster","amount":20},{"asset":"Shop_of_miracles_GR_1","amount":30}]}</t>
        </is>
      </c>
    </row>
    <row r="71" ht="75" customHeight="1">
      <c r="A71" s="1" t="n">
        <v>7</v>
      </c>
      <c r="B71" s="1" t="inlineStr">
        <is>
          <t>box_3</t>
        </is>
      </c>
      <c r="C71" s="4" t="inlineStr">
        <is>
          <t>Adventure_3_Sport_Box_3</t>
        </is>
      </c>
      <c r="D71" s="2" t="inlineStr">
        <is>
          <t>Adventure_4_Box_3</t>
        </is>
      </c>
      <c r="E71" s="2" t="inlineStr">
        <is>
          <t>Коробка с подарками</t>
        </is>
      </c>
      <c r="F71" s="2" t="inlineStr">
        <is>
          <t>Коробка содержит: 4 бустеров для мгновенной уборки мусора со всех горшков в локации, 20 оживителей, 20 ускорителей, 30 жетонов</t>
        </is>
      </c>
      <c r="G71" s="3" t="n"/>
      <c r="H71" s="3" t="n"/>
      <c r="I71" s="3" t="n"/>
      <c r="J71" s="3" t="n">
        <v>1</v>
      </c>
      <c r="K71" s="3" t="inlineStr">
        <is>
          <t>money_alt</t>
        </is>
      </c>
      <c r="L71" s="3" t="inlineStr">
        <is>
          <t>meta_info=plan=first; rand_reward={"all":[{"asset":"Stuff_Booster_CleanPot","amount":4},{"asset":"RecoverPlantBooster","amount":20},{"asset":"AccelerationPlantBooster","amount":20},{"asset":"AccelerateCraftingBooster","amount":30},{"asset":"Shop_of_miracles_GR_1","amount":50}]}</t>
        </is>
      </c>
    </row>
    <row r="72">
      <c r="A72" s="1" t="n">
        <v>8</v>
      </c>
      <c r="B72" s="1" t="inlineStr">
        <is>
          <t>main_resource</t>
        </is>
      </c>
      <c r="C72" s="4" t="inlineStr">
        <is>
          <t>Adventure_GR_3</t>
        </is>
      </c>
      <c r="D72" s="2" t="inlineStr">
        <is>
          <t>Adventure_GR_4</t>
        </is>
      </c>
      <c r="E72" s="2" t="inlineStr">
        <is>
          <t>Сказочка</t>
        </is>
      </c>
      <c r="F72" s="2" t="n"/>
      <c r="G72" s="3" t="n"/>
      <c r="H72" s="3" t="n"/>
      <c r="I72" s="3" t="inlineStr">
        <is>
          <t>quest_resource</t>
        </is>
      </c>
      <c r="J72" s="3" t="n"/>
      <c r="K72" s="3" t="n"/>
      <c r="L72" s="3" t="inlineStr">
        <is>
          <t>is_hidden=1; inventory_section=constructor; id=81706</t>
        </is>
      </c>
    </row>
    <row r="73" ht="45" customHeight="1">
      <c r="A73" s="1" t="n">
        <v>8</v>
      </c>
      <c r="B73" s="1" t="inlineStr">
        <is>
          <t>pet</t>
        </is>
      </c>
      <c r="C73" s="4" t="inlineStr">
        <is>
          <t>Pet17_Sport_9</t>
        </is>
      </c>
      <c r="D73" s="3" t="inlineStr">
        <is>
          <t>Pet17_Adventure_4_8</t>
        </is>
      </c>
      <c r="E73" s="2" t="inlineStr">
        <is>
          <t>Поросёнок</t>
        </is>
      </c>
      <c r="F73" s="2" t="inlineStr">
        <is>
          <t>Этот трудолюбивый поросёнок — настоящий мастер на все копытца! Если он рядом — любая работа будет выполнена быстро и аккуратно!</t>
        </is>
      </c>
      <c r="G73" s="3" t="inlineStr">
        <is>
          <t>Шурупчик</t>
        </is>
      </c>
      <c r="H73" s="3" t="inlineStr">
        <is>
          <t>Уникальный крохонька. Можно получить только в Сказочных приключениях.</t>
        </is>
      </c>
      <c r="I73" s="3" t="inlineStr">
        <is>
          <t>pet17</t>
        </is>
      </c>
      <c r="J73" s="3" t="inlineStr">
        <is>
          <t>open_price=money_alt=30000</t>
        </is>
      </c>
      <c r="K73" s="3" t="n"/>
      <c r="L73" s="3" t="inlineStr">
        <is>
          <t>event_frame=Adventure_4; feed_price=asset=Honeycomb:1; title_feed=От 100% до 0% Сытость падает за 3д. Одно кормление прибавляет 80% Сытости.</t>
        </is>
      </c>
    </row>
    <row r="74" ht="45" customHeight="1">
      <c r="A74" s="1" t="n">
        <v>8</v>
      </c>
      <c r="B74" s="1" t="inlineStr">
        <is>
          <t>collection_item</t>
        </is>
      </c>
      <c r="C74" s="4" t="inlineStr">
        <is>
          <t>TrophyPet17_Sport_9</t>
        </is>
      </c>
      <c r="D74" s="2" t="inlineStr">
        <is>
          <t>TrophyPet17_Adventure_4_8</t>
        </is>
      </c>
      <c r="E74" s="2" t="inlineStr">
        <is>
          <t>Медалька "Поросёнок"</t>
        </is>
      </c>
      <c r="F74" s="2" t="inlineStr">
        <is>
          <t>Раз в день можно получить бонус.</t>
        </is>
      </c>
      <c r="G74" s="3" t="n"/>
      <c r="H74" s="3" t="n"/>
      <c r="I74" s="3" t="n"/>
      <c r="J74" s="3" t="n"/>
      <c r="K74" s="3" t="n"/>
      <c r="L74" s="3" t="inlineStr">
        <is>
          <t>rand_reward.one_of=[{"xp":600,"p":38},{"xp":1200,"p":33},{"asset":"DomovoySpeedModifier_12h","amount":1,"p":20},{"asset":"Honeycomb","amount":1,"p":5},{"money":1,"p":4}]</t>
        </is>
      </c>
    </row>
    <row r="75">
      <c r="A75" s="1" t="n">
        <v>8</v>
      </c>
      <c r="B75" s="1" t="inlineStr">
        <is>
          <t>furniture</t>
        </is>
      </c>
      <c r="C75" s="4" t="inlineStr">
        <is>
          <t>Adventure_3_Sport_Reward_9</t>
        </is>
      </c>
      <c r="D75" s="2" t="inlineStr">
        <is>
          <t>Adventure_4_8_Reward_1</t>
        </is>
      </c>
      <c r="E75" s="2" t="inlineStr">
        <is>
          <t>Декор "Домик поросят"</t>
        </is>
      </c>
      <c r="F75" s="2" t="inlineStr">
        <is>
          <t>Кто упорно тренировался у того и результаты на лицо!</t>
        </is>
      </c>
      <c r="G75" s="3" t="n"/>
      <c r="H75" s="3" t="n"/>
      <c r="I75" s="3" t="inlineStr">
        <is>
          <t>big</t>
        </is>
      </c>
      <c r="J75" s="3" t="n">
        <v>9</v>
      </c>
      <c r="K75" s="3" t="inlineStr">
        <is>
          <t>money</t>
        </is>
      </c>
      <c r="L75" s="3" t="inlineStr">
        <is>
          <t>inventory_section=big;</t>
        </is>
      </c>
    </row>
    <row r="76" ht="30" customHeight="1">
      <c r="A76" s="1" t="n">
        <v>8</v>
      </c>
      <c r="B76" s="1" t="inlineStr">
        <is>
          <t>pot_multi</t>
        </is>
      </c>
      <c r="C76" s="4" t="inlineStr">
        <is>
          <t>Adventure_3_Sport_Pot_Multi_9</t>
        </is>
      </c>
      <c r="D76" s="2" t="inlineStr">
        <is>
          <t>Adventure_4_8_Pot_Multi_1</t>
        </is>
      </c>
      <c r="E76" s="2" t="inlineStr">
        <is>
          <t>Мечта хозяюшки "Три поросёнка"</t>
        </is>
      </c>
      <c r="F76" s="2" t="inlineStr">
        <is>
          <t>Горшочек сочный любимый. Выращивай в нём по 5 цветов за раз!</t>
        </is>
      </c>
      <c r="G76" s="3" t="n"/>
      <c r="H76" s="3" t="n"/>
      <c r="I76" s="3" t="inlineStr">
        <is>
          <t>multiflower</t>
        </is>
      </c>
      <c r="J76" s="3" t="n">
        <v>30</v>
      </c>
      <c r="K76" s="3" t="inlineStr">
        <is>
          <t>money</t>
        </is>
      </c>
      <c r="L76" s="3" t="n"/>
    </row>
    <row r="77" ht="30" customHeight="1">
      <c r="A77" s="1" t="n">
        <v>8</v>
      </c>
      <c r="B77" s="1" t="inlineStr">
        <is>
          <t>pot_multi_magic</t>
        </is>
      </c>
      <c r="C77" s="4" t="inlineStr">
        <is>
          <t>Adventure_3_Sport_Pot_Multi_Magic_9</t>
        </is>
      </c>
      <c r="D77" s="2" t="inlineStr">
        <is>
          <t>Adventure_4_8_Pot_Multi_Magic</t>
        </is>
      </c>
      <c r="E77" s="2" t="inlineStr">
        <is>
          <t>Волшебная мечта хозяюшки "Пирожок"</t>
        </is>
      </c>
      <c r="F77" s="2" t="inlineStr">
        <is>
          <t>Это вам не солома и не палочки, а кирпич! Выращивай сразу 5 волшебных цветочков!</t>
        </is>
      </c>
      <c r="G77" s="3" t="n"/>
      <c r="H77" s="3" t="n"/>
      <c r="I77" s="3" t="inlineStr">
        <is>
          <t>multimagic</t>
        </is>
      </c>
      <c r="J77" s="3" t="n">
        <v>50</v>
      </c>
      <c r="K77" s="3" t="inlineStr">
        <is>
          <t>money</t>
        </is>
      </c>
      <c r="L77" s="3" t="n"/>
    </row>
    <row r="78">
      <c r="A78" s="1" t="n">
        <v>8</v>
      </c>
      <c r="B78" s="1" t="inlineStr">
        <is>
          <t>trophy</t>
        </is>
      </c>
      <c r="C78" s="4" t="inlineStr">
        <is>
          <t>TrophyPet17_Sport_9</t>
        </is>
      </c>
      <c r="D78" s="2" t="inlineStr">
        <is>
          <t>TrophyPet17_Adventure_4_8</t>
        </is>
      </c>
      <c r="E78" s="2" t="inlineStr">
        <is>
          <t>Поросёнок</t>
        </is>
      </c>
      <c r="F78" s="2" t="n"/>
      <c r="G78" s="3" t="n"/>
      <c r="H78" s="3" t="n"/>
      <c r="I78" s="3" t="n"/>
      <c r="J78" s="3" t="n"/>
      <c r="K78" s="3" t="n"/>
      <c r="L78" s="3" t="inlineStr">
        <is>
          <t>quest/trophy; find=replace=TrophyPet17_Sport_9</t>
        </is>
      </c>
    </row>
    <row r="79" ht="45" customHeight="1">
      <c r="A79" s="1" t="n">
        <v>8</v>
      </c>
      <c r="B79" s="1" t="inlineStr">
        <is>
          <t>box_1</t>
        </is>
      </c>
      <c r="C79" s="4" t="inlineStr">
        <is>
          <t>Adventure_3_Sport_Box_1</t>
        </is>
      </c>
      <c r="D79" s="2" t="inlineStr">
        <is>
          <t>Adventure_4_Box_1</t>
        </is>
      </c>
      <c r="E79" s="2" t="inlineStr">
        <is>
          <t>Коробка с подарками</t>
        </is>
      </c>
      <c r="F79" s="2" t="inlineStr">
        <is>
          <t>Содержит волшебную синюю жабу, дающую грошики раз в день.</t>
        </is>
      </c>
      <c r="G79" s="3" t="n"/>
      <c r="H79" s="3" t="n"/>
      <c r="I79" s="3" t="n"/>
      <c r="J79" s="3" t="n">
        <v>1</v>
      </c>
      <c r="K79" s="3" t="inlineStr">
        <is>
          <t>money_alt</t>
        </is>
      </c>
      <c r="L79" s="3" t="inlineStr">
        <is>
          <t>meta_info=plan=first; rand_reward={"all":[{"asset":"MoneyboxFrogBlue","amount":1},{"asset":"Shop_of_miracles_GR_1","amount":20}]}</t>
        </is>
      </c>
    </row>
    <row r="80" ht="75" customHeight="1">
      <c r="A80" s="1" t="n">
        <v>8</v>
      </c>
      <c r="B80" s="1" t="inlineStr">
        <is>
          <t>box_2</t>
        </is>
      </c>
      <c r="C80" s="4" t="inlineStr">
        <is>
          <t>Adventure_3_Sport_Box_2</t>
        </is>
      </c>
      <c r="D80" s="2" t="inlineStr">
        <is>
          <t>Adventure_4_Box_2</t>
        </is>
      </c>
      <c r="E80" s="2" t="inlineStr">
        <is>
          <t>Коробка с подарками</t>
        </is>
      </c>
      <c r="F80" s="2" t="inlineStr">
        <is>
          <t>Содержит: 2 бустера для мгновенной уборки мусора со всех горшков в локации, 15 оживителей, 15 ускорителей, 20 жетонов</t>
        </is>
      </c>
      <c r="G80" s="3" t="n"/>
      <c r="H80" s="3" t="n"/>
      <c r="I80" s="3" t="n"/>
      <c r="J80" s="3" t="n">
        <v>1</v>
      </c>
      <c r="K80" s="3" t="inlineStr">
        <is>
          <t>money_alt</t>
        </is>
      </c>
      <c r="L80" s="3" t="inlineStr">
        <is>
          <t>meta_info=plan=first; rand_reward={"all":[{"asset":"Stuff_Booster_CleanPot","amount":2},{"asset":"RecoverPlantBooster","amount":15},{"asset":"AccelerationPlantBooster","amount":15},{"asset":"AccelerateCraftingBooster","amount":20},{"asset":"Shop_of_miracles_GR_1","amount":30}]}</t>
        </is>
      </c>
    </row>
    <row r="81" ht="75" customHeight="1">
      <c r="A81" s="1" t="n">
        <v>8</v>
      </c>
      <c r="B81" s="1" t="inlineStr">
        <is>
          <t>box_3</t>
        </is>
      </c>
      <c r="C81" s="4" t="inlineStr">
        <is>
          <t>Adventure_3_Sport_Box_3</t>
        </is>
      </c>
      <c r="D81" s="2" t="inlineStr">
        <is>
          <t>Adventure_4_Box_3</t>
        </is>
      </c>
      <c r="E81" s="2" t="inlineStr">
        <is>
          <t>Коробка с подарками</t>
        </is>
      </c>
      <c r="F81" s="2" t="inlineStr">
        <is>
          <t>Коробка содержит: 4 бустеров для мгновенной уборки мусора со всех горшков в локации, 20 оживителей, 20 ускорителей, 30 жетонов</t>
        </is>
      </c>
      <c r="G81" s="3" t="n"/>
      <c r="H81" s="3" t="n"/>
      <c r="I81" s="3" t="n"/>
      <c r="J81" s="3" t="n">
        <v>1</v>
      </c>
      <c r="K81" s="3" t="inlineStr">
        <is>
          <t>money_alt</t>
        </is>
      </c>
      <c r="L81" s="3" t="inlineStr">
        <is>
          <t>meta_info=plan=first; rand_reward={"all":[{"asset":"Stuff_Booster_CleanPot","amount":4},{"asset":"RecoverPlantBooster","amount":20},{"asset":"AccelerationPlantBooster","amount":20},{"asset":"AccelerateCraftingBooster","amount":30},{"asset":"Shop_of_miracles_GR_1","amount":50}]}</t>
        </is>
      </c>
    </row>
    <row r="82">
      <c r="A82" s="1" t="n">
        <v>9</v>
      </c>
      <c r="B82" s="1" t="inlineStr">
        <is>
          <t>main_resource</t>
        </is>
      </c>
      <c r="C82" s="4" t="inlineStr">
        <is>
          <t>Adventure_GR_3</t>
        </is>
      </c>
      <c r="D82" s="2" t="inlineStr">
        <is>
          <t>Adventure_GR_4</t>
        </is>
      </c>
      <c r="E82" s="2" t="inlineStr">
        <is>
          <t>Сказочка</t>
        </is>
      </c>
      <c r="F82" s="2" t="n"/>
      <c r="G82" s="3" t="n"/>
      <c r="H82" s="3" t="n"/>
      <c r="I82" s="3" t="inlineStr">
        <is>
          <t>quest_resource</t>
        </is>
      </c>
      <c r="J82" s="3" t="n"/>
      <c r="K82" s="3" t="n"/>
      <c r="L82" s="3" t="inlineStr">
        <is>
          <t>is_hidden=1; inventory_section=constructor; id=81706</t>
        </is>
      </c>
    </row>
    <row r="83" ht="45" customHeight="1">
      <c r="A83" s="1" t="n">
        <v>9</v>
      </c>
      <c r="B83" s="1" t="inlineStr">
        <is>
          <t>pet</t>
        </is>
      </c>
      <c r="C83" s="4" t="inlineStr">
        <is>
          <t>Pet17_Sport_9</t>
        </is>
      </c>
      <c r="D83" s="3" t="inlineStr">
        <is>
          <t>Pet17_Adventure_4_9</t>
        </is>
      </c>
      <c r="E83" s="2" t="inlineStr">
        <is>
          <t>Мартышка</t>
        </is>
      </c>
      <c r="F83" s="2" t="inlineStr">
        <is>
          <t>Эта озорная обезьянка — настоящая звезда любой вечеринки! Она обожает танцевать, смешить друзей и быть в центре внимания.</t>
        </is>
      </c>
      <c r="G83" s="3" t="inlineStr">
        <is>
          <t>Крутышка</t>
        </is>
      </c>
      <c r="H83" s="3" t="inlineStr">
        <is>
          <t>Уникальный крохонька. Можно получить только в Сказочных приключениях.</t>
        </is>
      </c>
      <c r="I83" s="3" t="inlineStr">
        <is>
          <t>pet17</t>
        </is>
      </c>
      <c r="J83" s="3" t="inlineStr">
        <is>
          <t>open_price=money_alt=30000</t>
        </is>
      </c>
      <c r="K83" s="3" t="n"/>
      <c r="L83" s="3" t="inlineStr">
        <is>
          <t>event_frame=Adventure_4; feed_price=asset=BananaCompote:1; title_feed=От 100% до 0% Сытость падает за 3д. Одно кормление прибавляет 80% Сытости.</t>
        </is>
      </c>
    </row>
    <row r="84" ht="45" customHeight="1">
      <c r="A84" s="1" t="n">
        <v>9</v>
      </c>
      <c r="B84" s="1" t="inlineStr">
        <is>
          <t>collection_item</t>
        </is>
      </c>
      <c r="C84" s="4" t="inlineStr">
        <is>
          <t>TrophyPet17_Sport_9</t>
        </is>
      </c>
      <c r="D84" s="2" t="inlineStr">
        <is>
          <t>TrophyPet17_Adventure_4_9</t>
        </is>
      </c>
      <c r="E84" s="2" t="inlineStr">
        <is>
          <t>Медалька "Мартышка"</t>
        </is>
      </c>
      <c r="F84" s="2" t="inlineStr">
        <is>
          <t>Раз в день можно получить бонус.</t>
        </is>
      </c>
      <c r="G84" s="3" t="n"/>
      <c r="H84" s="3" t="n"/>
      <c r="I84" s="3" t="n"/>
      <c r="J84" s="3" t="n"/>
      <c r="K84" s="3" t="n"/>
      <c r="L84" s="3" t="inlineStr">
        <is>
          <t>rand_reward.one_of=[{"xp":600,"p":38},{"xp":1200,"p":33},{"asset":"DomovoySpeedModifier_12h","amount":1,"p":20},{"asset":"BananaCompote","amount":1,"p":5},{"money":1,"p":4}]</t>
        </is>
      </c>
    </row>
    <row r="85">
      <c r="A85" s="1" t="n">
        <v>9</v>
      </c>
      <c r="B85" s="1" t="inlineStr">
        <is>
          <t>furniture</t>
        </is>
      </c>
      <c r="C85" s="4" t="inlineStr">
        <is>
          <t>Adventure_3_Sport_Reward_9</t>
        </is>
      </c>
      <c r="D85" s="2" t="inlineStr">
        <is>
          <t>Adventure_4_9_Reward_1</t>
        </is>
      </c>
      <c r="E85" s="2" t="inlineStr">
        <is>
          <t>Декор "Супчик по особому рецепту"</t>
        </is>
      </c>
      <c r="F85" s="2" t="inlineStr">
        <is>
          <t>В очках мы суп варили, но что-то важное, всё же успустили!</t>
        </is>
      </c>
      <c r="G85" s="3" t="n"/>
      <c r="H85" s="3" t="n"/>
      <c r="I85" s="3" t="inlineStr">
        <is>
          <t>big</t>
        </is>
      </c>
      <c r="J85" s="3" t="n">
        <v>9</v>
      </c>
      <c r="K85" s="3" t="inlineStr">
        <is>
          <t>money</t>
        </is>
      </c>
      <c r="L85" s="3" t="inlineStr">
        <is>
          <t>inventory_section=big;</t>
        </is>
      </c>
    </row>
    <row r="86" ht="30" customHeight="1">
      <c r="A86" s="1" t="n">
        <v>9</v>
      </c>
      <c r="B86" s="1" t="inlineStr">
        <is>
          <t>pot_multi</t>
        </is>
      </c>
      <c r="C86" s="4" t="inlineStr">
        <is>
          <t>Adventure_3_Sport_Pot_Multi_9</t>
        </is>
      </c>
      <c r="D86" s="2" t="inlineStr">
        <is>
          <t>Adventure_4_9_Pot_Multi_1</t>
        </is>
      </c>
      <c r="E86" s="2" t="inlineStr">
        <is>
          <t>Мечта хозяюшки "Мартышка и очки"</t>
        </is>
      </c>
      <c r="F86" s="2" t="inlineStr">
        <is>
          <t>Горшочек сочный любимый. Выращивай в нём по 5 цветов за раз!</t>
        </is>
      </c>
      <c r="G86" s="3" t="n"/>
      <c r="H86" s="3" t="n"/>
      <c r="I86" s="3" t="inlineStr">
        <is>
          <t>multiflower</t>
        </is>
      </c>
      <c r="J86" s="3" t="n">
        <v>30</v>
      </c>
      <c r="K86" s="3" t="inlineStr">
        <is>
          <t>money</t>
        </is>
      </c>
      <c r="L86" s="3" t="n"/>
    </row>
    <row r="87" ht="30" customHeight="1">
      <c r="A87" s="1" t="n">
        <v>9</v>
      </c>
      <c r="B87" s="1" t="inlineStr">
        <is>
          <t>pot_multi_magic</t>
        </is>
      </c>
      <c r="C87" s="4" t="inlineStr">
        <is>
          <t>Adventure_3_Sport_Pot_Multi_Magic_9</t>
        </is>
      </c>
      <c r="D87" s="2" t="inlineStr">
        <is>
          <t>Adventure_4_9_Pot_Multi_Magic</t>
        </is>
      </c>
      <c r="E87" s="2" t="inlineStr">
        <is>
          <t>Волшебная мечта хозяюшки "Очки"</t>
        </is>
      </c>
      <c r="F87" s="2" t="inlineStr">
        <is>
          <t>Очень стильно, очень красиво! Выращивай сразу 5 волшебных цветочков!</t>
        </is>
      </c>
      <c r="G87" s="3" t="n"/>
      <c r="H87" s="3" t="n"/>
      <c r="I87" s="3" t="inlineStr">
        <is>
          <t>multimagic</t>
        </is>
      </c>
      <c r="J87" s="3" t="n">
        <v>50</v>
      </c>
      <c r="K87" s="3" t="inlineStr">
        <is>
          <t>money</t>
        </is>
      </c>
      <c r="L87" s="3" t="n"/>
    </row>
    <row r="88">
      <c r="A88" s="1" t="n">
        <v>9</v>
      </c>
      <c r="B88" s="1" t="inlineStr">
        <is>
          <t>trophy</t>
        </is>
      </c>
      <c r="C88" s="4" t="inlineStr">
        <is>
          <t>TrophyPet17_Sport_9</t>
        </is>
      </c>
      <c r="D88" s="2" t="inlineStr">
        <is>
          <t>TrophyPet17_Adventure_4_9</t>
        </is>
      </c>
      <c r="E88" s="2" t="inlineStr">
        <is>
          <t>Мартышка</t>
        </is>
      </c>
      <c r="F88" s="2" t="n"/>
      <c r="G88" s="3" t="n"/>
      <c r="H88" s="3" t="n"/>
      <c r="I88" s="3" t="n"/>
      <c r="J88" s="3" t="n"/>
      <c r="K88" s="3" t="n"/>
      <c r="L88" s="3" t="inlineStr">
        <is>
          <t>quest/trophy; find=replace=TrophyPet17_Sport_9</t>
        </is>
      </c>
    </row>
    <row r="89" ht="45" customHeight="1">
      <c r="A89" s="1" t="n">
        <v>9</v>
      </c>
      <c r="B89" s="1" t="inlineStr">
        <is>
          <t>box_1</t>
        </is>
      </c>
      <c r="C89" s="4" t="inlineStr">
        <is>
          <t>Adventure_3_Sport_Box_1</t>
        </is>
      </c>
      <c r="D89" s="2" t="inlineStr">
        <is>
          <t>Adventure_4_Box_1</t>
        </is>
      </c>
      <c r="E89" s="2" t="inlineStr">
        <is>
          <t>Коробка с подарками</t>
        </is>
      </c>
      <c r="F89" s="2" t="inlineStr">
        <is>
          <t>Содержит волшебную синюю жабу, дающую грошики раз в день.</t>
        </is>
      </c>
      <c r="G89" s="3" t="n"/>
      <c r="H89" s="3" t="n"/>
      <c r="I89" s="3" t="n"/>
      <c r="J89" s="3" t="n">
        <v>1</v>
      </c>
      <c r="K89" s="3" t="inlineStr">
        <is>
          <t>money_alt</t>
        </is>
      </c>
      <c r="L89" s="3" t="inlineStr">
        <is>
          <t>meta_info=plan=first; rand_reward={"all":[{"asset":"MoneyboxFrogBlue","amount":1},{"asset":"Shop_of_miracles_GR_1","amount":20}]}</t>
        </is>
      </c>
    </row>
    <row r="90" ht="75" customHeight="1">
      <c r="A90" s="1" t="n">
        <v>9</v>
      </c>
      <c r="B90" s="1" t="inlineStr">
        <is>
          <t>box_2</t>
        </is>
      </c>
      <c r="C90" s="4" t="inlineStr">
        <is>
          <t>Adventure_3_Sport_Box_2</t>
        </is>
      </c>
      <c r="D90" s="2" t="inlineStr">
        <is>
          <t>Adventure_4_Box_2</t>
        </is>
      </c>
      <c r="E90" s="2" t="inlineStr">
        <is>
          <t>Коробка с подарками</t>
        </is>
      </c>
      <c r="F90" s="2" t="inlineStr">
        <is>
          <t>Содержит: 2 бустера для мгновенной уборки мусора со всех горшков в локации, 15 оживителей, 15 ускорителей, 20 жетонов</t>
        </is>
      </c>
      <c r="G90" s="3" t="n"/>
      <c r="H90" s="3" t="n"/>
      <c r="I90" s="3" t="n"/>
      <c r="J90" s="3" t="n">
        <v>1</v>
      </c>
      <c r="K90" s="3" t="inlineStr">
        <is>
          <t>money_alt</t>
        </is>
      </c>
      <c r="L90" s="3" t="inlineStr">
        <is>
          <t>meta_info=plan=first; rand_reward={"all":[{"asset":"Stuff_Booster_CleanPot","amount":2},{"asset":"RecoverPlantBooster","amount":15},{"asset":"AccelerationPlantBooster","amount":15},{"asset":"AccelerateCraftingBooster","amount":20},{"asset":"Shop_of_miracles_GR_1","amount":30}]}</t>
        </is>
      </c>
    </row>
    <row r="91" ht="75" customHeight="1">
      <c r="A91" s="1" t="n">
        <v>9</v>
      </c>
      <c r="B91" s="1" t="inlineStr">
        <is>
          <t>box_3</t>
        </is>
      </c>
      <c r="C91" s="4" t="inlineStr">
        <is>
          <t>Adventure_3_Sport_Box_3</t>
        </is>
      </c>
      <c r="D91" s="2" t="inlineStr">
        <is>
          <t>Adventure_4_Box_3</t>
        </is>
      </c>
      <c r="E91" s="2" t="inlineStr">
        <is>
          <t>Коробка с подарками</t>
        </is>
      </c>
      <c r="F91" s="2" t="inlineStr">
        <is>
          <t>Коробка содержит: 4 бустеров для мгновенной уборки мусора со всех горшков в локации, 20 оживителей, 20 ускорителей, 30 жетонов</t>
        </is>
      </c>
      <c r="G91" s="3" t="n"/>
      <c r="H91" s="3" t="n"/>
      <c r="I91" s="3" t="n"/>
      <c r="J91" s="3" t="n">
        <v>1</v>
      </c>
      <c r="K91" s="3" t="inlineStr">
        <is>
          <t>money_alt</t>
        </is>
      </c>
      <c r="L91" s="3" t="inlineStr">
        <is>
          <t>meta_info=plan=first; rand_reward={"all":[{"asset":"Stuff_Booster_CleanPot","amount":4},{"asset":"RecoverPlantBooster","amount":20},{"asset":"AccelerationPlantBooster","amount":20},{"asset":"AccelerateCraftingBooster","amount":30},{"asset":"Shop_of_miracles_GR_1","amount":50}]}</t>
        </is>
      </c>
    </row>
    <row r="92">
      <c r="A92" s="1" t="n">
        <v>10</v>
      </c>
      <c r="B92" s="1" t="inlineStr">
        <is>
          <t>main_resource</t>
        </is>
      </c>
      <c r="C92" s="4" t="inlineStr">
        <is>
          <t>Adventure_GR_3</t>
        </is>
      </c>
      <c r="D92" s="2" t="inlineStr">
        <is>
          <t>Adventure_GR_4</t>
        </is>
      </c>
      <c r="E92" s="2" t="inlineStr">
        <is>
          <t>Сказочка</t>
        </is>
      </c>
      <c r="F92" s="2" t="n"/>
      <c r="G92" s="3" t="n"/>
      <c r="H92" s="3" t="n"/>
      <c r="I92" s="3" t="inlineStr">
        <is>
          <t>quest_resource</t>
        </is>
      </c>
      <c r="J92" s="3" t="n"/>
      <c r="K92" s="3" t="n"/>
      <c r="L92" s="3" t="inlineStr">
        <is>
          <t>is_hidden=1; inventory_section=constructor; id=81706</t>
        </is>
      </c>
    </row>
    <row r="93" ht="45" customHeight="1">
      <c r="A93" s="1" t="n">
        <v>10</v>
      </c>
      <c r="B93" s="1" t="inlineStr">
        <is>
          <t>pet</t>
        </is>
      </c>
      <c r="C93" s="4" t="inlineStr">
        <is>
          <t>Pet17_Sport_9</t>
        </is>
      </c>
      <c r="D93" s="3" t="inlineStr">
        <is>
          <t>Pet17_Adventure_4_10</t>
        </is>
      </c>
      <c r="E93" s="2" t="inlineStr">
        <is>
          <t>Мишутка</t>
        </is>
      </c>
      <c r="F93" s="2" t="inlineStr">
        <is>
          <t>Хранитель лесных традиций! Он любит встречать гостей, угощать их мёдом и рассказывать весёлые истории.</t>
        </is>
      </c>
      <c r="G93" s="3" t="inlineStr">
        <is>
          <t>Потапыч</t>
        </is>
      </c>
      <c r="H93" s="3" t="inlineStr">
        <is>
          <t>Уникальный крохонька. Можно получить только в Сказочных приключениях.</t>
        </is>
      </c>
      <c r="I93" s="3" t="inlineStr">
        <is>
          <t>pet17</t>
        </is>
      </c>
      <c r="J93" s="3" t="inlineStr">
        <is>
          <t>open_price=money_alt=30000</t>
        </is>
      </c>
      <c r="K93" s="3" t="n"/>
      <c r="L93" s="3" t="inlineStr">
        <is>
          <t>event_frame=Adventure_4; feed_price=asset=Honeycomb:1; title_feed=От 100% до 0% Сытость падает за 3д. Одно кормление прибавляет 80% Сытости.</t>
        </is>
      </c>
    </row>
    <row r="94" ht="45" customHeight="1">
      <c r="A94" s="1" t="n">
        <v>10</v>
      </c>
      <c r="B94" s="1" t="inlineStr">
        <is>
          <t>collection_item</t>
        </is>
      </c>
      <c r="C94" s="4" t="inlineStr">
        <is>
          <t>TrophyPet17_Sport_9</t>
        </is>
      </c>
      <c r="D94" s="2" t="inlineStr">
        <is>
          <t>TrophyPet17_Adventure_4_10</t>
        </is>
      </c>
      <c r="E94" s="2" t="inlineStr">
        <is>
          <t>Медалька "Мишутка"</t>
        </is>
      </c>
      <c r="F94" s="2" t="inlineStr">
        <is>
          <t>Раз в день можно получить бонус.</t>
        </is>
      </c>
      <c r="G94" s="3" t="n"/>
      <c r="H94" s="3" t="n"/>
      <c r="I94" s="3" t="n"/>
      <c r="J94" s="3" t="n"/>
      <c r="K94" s="3" t="n"/>
      <c r="L94" s="3" t="inlineStr">
        <is>
          <t>rand_reward.one_of=[{"xp":600,"p":38},{"xp":1200,"p":33},{"asset":"DomovoySpeedModifier_12h","amount":1,"p":20},{"asset":"Honeycomb","amount":1,"p":5},{"money":1,"p":4}]</t>
        </is>
      </c>
    </row>
    <row r="95">
      <c r="A95" s="1" t="n">
        <v>10</v>
      </c>
      <c r="B95" s="1" t="inlineStr">
        <is>
          <t>furniture</t>
        </is>
      </c>
      <c r="C95" s="4" t="inlineStr">
        <is>
          <t>Adventure_3_Sport_Reward_9</t>
        </is>
      </c>
      <c r="D95" s="2" t="inlineStr">
        <is>
          <t>Adventure_4_10_Reward_1</t>
        </is>
      </c>
      <c r="E95" s="2" t="inlineStr">
        <is>
          <t>Декор "Лиса и медведь"</t>
        </is>
      </c>
      <c r="F95" s="2" t="inlineStr">
        <is>
          <t>Идея высший класс, маскировка медведя под пчелку!</t>
        </is>
      </c>
      <c r="G95" s="3" t="n"/>
      <c r="H95" s="3" t="n"/>
      <c r="I95" s="3" t="inlineStr">
        <is>
          <t>big</t>
        </is>
      </c>
      <c r="J95" s="3" t="n">
        <v>9</v>
      </c>
      <c r="K95" s="3" t="inlineStr">
        <is>
          <t>money</t>
        </is>
      </c>
      <c r="L95" s="3" t="inlineStr">
        <is>
          <t>inventory_section=big;</t>
        </is>
      </c>
    </row>
    <row r="96" ht="30" customHeight="1">
      <c r="A96" s="1" t="n">
        <v>10</v>
      </c>
      <c r="B96" s="1" t="inlineStr">
        <is>
          <t>pot_multi</t>
        </is>
      </c>
      <c r="C96" s="4" t="inlineStr">
        <is>
          <t>Adventure_3_Sport_Pot_Multi_9</t>
        </is>
      </c>
      <c r="D96" s="2" t="inlineStr">
        <is>
          <t>Adventure_4_10_Pot_Multi_1</t>
        </is>
      </c>
      <c r="E96" s="2" t="inlineStr">
        <is>
          <t>Мечта хозяюшки "Лиса и медведь"</t>
        </is>
      </c>
      <c r="F96" s="2" t="inlineStr">
        <is>
          <t>Горшочек сочный любимый. Выращивай в нём по 5 цветов за раз!</t>
        </is>
      </c>
      <c r="G96" s="3" t="n"/>
      <c r="H96" s="3" t="n"/>
      <c r="I96" s="3" t="inlineStr">
        <is>
          <t>multiflower</t>
        </is>
      </c>
      <c r="J96" s="3" t="n">
        <v>30</v>
      </c>
      <c r="K96" s="3" t="inlineStr">
        <is>
          <t>money</t>
        </is>
      </c>
      <c r="L96" s="3" t="n"/>
    </row>
    <row r="97" ht="30" customHeight="1">
      <c r="A97" s="1" t="n">
        <v>10</v>
      </c>
      <c r="B97" s="1" t="inlineStr">
        <is>
          <t>pot_multi_magic</t>
        </is>
      </c>
      <c r="C97" s="4" t="inlineStr">
        <is>
          <t>Adventure_3_Sport_Pot_Multi_Magic_9</t>
        </is>
      </c>
      <c r="D97" s="2" t="inlineStr">
        <is>
          <t>Adventure_4_10_Pot_Multi_Magic</t>
        </is>
      </c>
      <c r="E97" s="2" t="inlineStr">
        <is>
          <t>Волшебная мечта хозяюшки "Медовые соты"</t>
        </is>
      </c>
      <c r="F97" s="2" t="inlineStr">
        <is>
          <t>Созданый трудолюбивыми пчелками горшочек! Выращивай сразу 5 волшебных цветочков!</t>
        </is>
      </c>
      <c r="G97" s="3" t="n"/>
      <c r="H97" s="3" t="n"/>
      <c r="I97" s="3" t="inlineStr">
        <is>
          <t>multimagic</t>
        </is>
      </c>
      <c r="J97" s="3" t="n">
        <v>50</v>
      </c>
      <c r="K97" s="3" t="inlineStr">
        <is>
          <t>money</t>
        </is>
      </c>
      <c r="L97" s="3" t="n"/>
    </row>
    <row r="98">
      <c r="A98" s="1" t="n">
        <v>10</v>
      </c>
      <c r="B98" s="1" t="inlineStr">
        <is>
          <t>trophy</t>
        </is>
      </c>
      <c r="C98" s="4" t="inlineStr">
        <is>
          <t>TrophyPet17_Sport_9</t>
        </is>
      </c>
      <c r="D98" s="2" t="inlineStr">
        <is>
          <t>TrophyPet17_Adventure_4_10</t>
        </is>
      </c>
      <c r="E98" s="2" t="inlineStr">
        <is>
          <t>Мишутка</t>
        </is>
      </c>
      <c r="F98" s="2" t="n"/>
      <c r="G98" s="3" t="n"/>
      <c r="H98" s="3" t="n"/>
      <c r="I98" s="3" t="n"/>
      <c r="J98" s="3" t="n"/>
      <c r="K98" s="3" t="n"/>
      <c r="L98" s="3" t="inlineStr">
        <is>
          <t>quest/trophy; find=replace=TrophyPet17_Sport_9</t>
        </is>
      </c>
    </row>
    <row r="99" ht="45" customHeight="1">
      <c r="A99" s="1" t="n">
        <v>10</v>
      </c>
      <c r="B99" s="1" t="inlineStr">
        <is>
          <t>box_1</t>
        </is>
      </c>
      <c r="C99" s="4" t="inlineStr">
        <is>
          <t>Adventure_3_Sport_Box_1</t>
        </is>
      </c>
      <c r="D99" s="2" t="inlineStr">
        <is>
          <t>Adventure_4_Box_1</t>
        </is>
      </c>
      <c r="E99" s="2" t="inlineStr">
        <is>
          <t>Коробка с подарками</t>
        </is>
      </c>
      <c r="F99" s="2" t="inlineStr">
        <is>
          <t>Содержит волшебную синюю жабу, дающую грошики раз в день.</t>
        </is>
      </c>
      <c r="G99" s="3" t="n"/>
      <c r="H99" s="3" t="n"/>
      <c r="I99" s="3" t="n"/>
      <c r="J99" s="3" t="n">
        <v>1</v>
      </c>
      <c r="K99" s="3" t="inlineStr">
        <is>
          <t>money_alt</t>
        </is>
      </c>
      <c r="L99" s="3" t="inlineStr">
        <is>
          <t>meta_info=plan=first; rand_reward={"all":[{"asset":"MoneyboxFrogBlue","amount":1},{"asset":"Shop_of_miracles_GR_1","amount":20}]}</t>
        </is>
      </c>
    </row>
    <row r="100" ht="75" customHeight="1">
      <c r="A100" s="1" t="n">
        <v>10</v>
      </c>
      <c r="B100" s="1" t="inlineStr">
        <is>
          <t>box_2</t>
        </is>
      </c>
      <c r="C100" s="4" t="inlineStr">
        <is>
          <t>Adventure_3_Sport_Box_2</t>
        </is>
      </c>
      <c r="D100" s="2" t="inlineStr">
        <is>
          <t>Adventure_4_Box_2</t>
        </is>
      </c>
      <c r="E100" s="2" t="inlineStr">
        <is>
          <t>Коробка с подарками</t>
        </is>
      </c>
      <c r="F100" s="2" t="inlineStr">
        <is>
          <t>Содержит: 2 бустера для мгновенной уборки мусора со всех горшков в локации, 15 оживителей, 15 ускорителей, 20 жетонов</t>
        </is>
      </c>
      <c r="G100" s="3" t="n"/>
      <c r="H100" s="3" t="n"/>
      <c r="I100" s="3" t="n"/>
      <c r="J100" s="3" t="n">
        <v>1</v>
      </c>
      <c r="K100" s="3" t="inlineStr">
        <is>
          <t>money_alt</t>
        </is>
      </c>
      <c r="L100" s="3" t="inlineStr">
        <is>
          <t>meta_info=plan=first; rand_reward={"all":[{"asset":"Stuff_Booster_CleanPot","amount":2},{"asset":"RecoverPlantBooster","amount":15},{"asset":"AccelerationPlantBooster","amount":15},{"asset":"AccelerateCraftingBooster","amount":20},{"asset":"Shop_of_miracles_GR_1","amount":30}]}</t>
        </is>
      </c>
    </row>
    <row r="101" ht="75" customHeight="1">
      <c r="A101" s="1" t="n">
        <v>10</v>
      </c>
      <c r="B101" s="1" t="inlineStr">
        <is>
          <t>box_3</t>
        </is>
      </c>
      <c r="C101" s="4" t="inlineStr">
        <is>
          <t>Adventure_3_Sport_Box_3</t>
        </is>
      </c>
      <c r="D101" s="2" t="inlineStr">
        <is>
          <t>Adventure_4_Box_3</t>
        </is>
      </c>
      <c r="E101" s="2" t="inlineStr">
        <is>
          <t>Коробка с подарками</t>
        </is>
      </c>
      <c r="F101" s="2" t="inlineStr">
        <is>
          <t>Коробка содержит: 4 бустеров для мгновенной уборки мусора со всех горшков в локации, 20 оживителей, 20 ускорителей, 30 жетонов</t>
        </is>
      </c>
      <c r="G101" s="3" t="n"/>
      <c r="H101" s="3" t="n"/>
      <c r="I101" s="3" t="n"/>
      <c r="J101" s="3" t="n">
        <v>1</v>
      </c>
      <c r="K101" s="3" t="inlineStr">
        <is>
          <t>money_alt</t>
        </is>
      </c>
      <c r="L101" s="3" t="inlineStr">
        <is>
          <t>meta_info=plan=first; rand_reward={"all":[{"asset":"Stuff_Booster_CleanPot","amount":4},{"asset":"RecoverPlantBooster","amount":20},{"asset":"AccelerationPlantBooster","amount":20},{"asset":"AccelerateCraftingBooster","amount":30},{"asset":"Shop_of_miracles_GR_1","amount":50}]}</t>
        </is>
      </c>
    </row>
    <row r="102">
      <c r="A102" s="1" t="n">
        <v>11</v>
      </c>
      <c r="B102" s="1" t="inlineStr">
        <is>
          <t>main_resource</t>
        </is>
      </c>
      <c r="C102" s="4" t="inlineStr">
        <is>
          <t>Adventure_GR_3</t>
        </is>
      </c>
      <c r="D102" s="2" t="inlineStr">
        <is>
          <t>Adventure_GR_4</t>
        </is>
      </c>
      <c r="E102" s="2" t="inlineStr">
        <is>
          <t>Сказочка</t>
        </is>
      </c>
      <c r="F102" s="2" t="n"/>
      <c r="G102" s="3" t="n"/>
      <c r="H102" s="3" t="n"/>
      <c r="I102" s="3" t="inlineStr">
        <is>
          <t>quest_resource</t>
        </is>
      </c>
      <c r="J102" s="3" t="n"/>
      <c r="K102" s="3" t="n"/>
      <c r="L102" s="3" t="inlineStr">
        <is>
          <t>is_hidden=1; inventory_section=constructor; id=81706</t>
        </is>
      </c>
    </row>
    <row r="103" ht="45" customHeight="1">
      <c r="A103" s="1" t="n">
        <v>11</v>
      </c>
      <c r="B103" s="1" t="inlineStr">
        <is>
          <t>pet</t>
        </is>
      </c>
      <c r="C103" s="4" t="inlineStr">
        <is>
          <t>Pet17_Sport_9</t>
        </is>
      </c>
      <c r="D103" s="3" t="inlineStr">
        <is>
          <t>Pet17_Adventure_4_11</t>
        </is>
      </c>
      <c r="E103" s="2" t="inlineStr">
        <is>
          <t>Хомячок</t>
        </is>
      </c>
      <c r="F103" s="2" t="inlineStr">
        <is>
          <t>Хранительница зимнего волшебства! Она умеет укрывать землю сверкающим снегом и рисовать морозные узоры.</t>
        </is>
      </c>
      <c r="G103" s="3" t="inlineStr">
        <is>
          <t>Снежинка</t>
        </is>
      </c>
      <c r="H103" s="3" t="inlineStr">
        <is>
          <t>Уникальный крохонька. Можно получить только в Сказочных приключениях.</t>
        </is>
      </c>
      <c r="I103" s="3" t="inlineStr">
        <is>
          <t>pet17</t>
        </is>
      </c>
      <c r="J103" s="3" t="inlineStr">
        <is>
          <t>open_price=money_alt=30000</t>
        </is>
      </c>
      <c r="K103" s="3" t="n"/>
      <c r="L103" s="3" t="inlineStr">
        <is>
          <t>event_frame=Adventure_4; feed_price=asset=Muesli:1; title_feed=От 100% до 0% Сытость падает за 3д. Одно кормление прибавляет 80% Сытости.</t>
        </is>
      </c>
    </row>
    <row r="104" ht="45" customHeight="1">
      <c r="A104" s="1" t="n">
        <v>11</v>
      </c>
      <c r="B104" s="1" t="inlineStr">
        <is>
          <t>collection_item</t>
        </is>
      </c>
      <c r="C104" s="4" t="inlineStr">
        <is>
          <t>TrophyPet17_Sport_9</t>
        </is>
      </c>
      <c r="D104" s="2" t="inlineStr">
        <is>
          <t>TrophyPet17_Adventure_4_11</t>
        </is>
      </c>
      <c r="E104" s="2" t="inlineStr">
        <is>
          <t>Медалька "Хомячок"</t>
        </is>
      </c>
      <c r="F104" s="2" t="inlineStr">
        <is>
          <t>Раз в день можно получить бонус.</t>
        </is>
      </c>
      <c r="G104" s="3" t="n"/>
      <c r="H104" s="3" t="n"/>
      <c r="I104" s="3" t="n"/>
      <c r="J104" s="3" t="n"/>
      <c r="K104" s="3" t="n"/>
      <c r="L104" s="3" t="inlineStr">
        <is>
          <t>rand_reward.one_of=[{"xp":600,"p":38},{"xp":1200,"p":33},{"asset":"DomovoySpeedModifier_12h","amount":1,"p":20},{"asset":"Muesli","amount":1,"p":5},{"money":1,"p":4}]</t>
        </is>
      </c>
    </row>
    <row r="105">
      <c r="A105" s="1" t="n">
        <v>11</v>
      </c>
      <c r="B105" s="1" t="inlineStr">
        <is>
          <t>furniture</t>
        </is>
      </c>
      <c r="C105" s="4" t="inlineStr">
        <is>
          <t>Adventure_3_Sport_Reward_9</t>
        </is>
      </c>
      <c r="D105" s="2" t="inlineStr">
        <is>
          <t>Adventure_4_11_Reward_1</t>
        </is>
      </c>
      <c r="E105" s="2" t="inlineStr">
        <is>
          <t>Декор "Пылающее кресло"</t>
        </is>
      </c>
      <c r="F105" s="2" t="inlineStr">
        <is>
          <t>Идея высший класс, маскировка медведя под пчелку!</t>
        </is>
      </c>
      <c r="G105" s="3" t="n"/>
      <c r="H105" s="3" t="n"/>
      <c r="I105" s="3" t="inlineStr">
        <is>
          <t>big</t>
        </is>
      </c>
      <c r="J105" s="3" t="n">
        <v>9</v>
      </c>
      <c r="K105" s="3" t="inlineStr">
        <is>
          <t>money</t>
        </is>
      </c>
      <c r="L105" s="3" t="inlineStr">
        <is>
          <t>inventory_section=big;</t>
        </is>
      </c>
    </row>
    <row r="106" ht="30" customHeight="1">
      <c r="A106" s="1" t="n">
        <v>11</v>
      </c>
      <c r="B106" s="1" t="inlineStr">
        <is>
          <t>pot_multi</t>
        </is>
      </c>
      <c r="C106" s="4" t="inlineStr">
        <is>
          <t>Adventure_3_Sport_Pot_Multi_9</t>
        </is>
      </c>
      <c r="D106" s="2" t="inlineStr">
        <is>
          <t>Adventure_4_11_Pot_Multi_1</t>
        </is>
      </c>
      <c r="E106" s="2" t="inlineStr">
        <is>
          <t>Мечта хозяюшки "Снежная королева"</t>
        </is>
      </c>
      <c r="F106" s="2" t="inlineStr">
        <is>
          <t>Горшочек сочный любимый. Выращивай в нём по 5 цветов за раз!</t>
        </is>
      </c>
      <c r="G106" s="3" t="n"/>
      <c r="H106" s="3" t="n"/>
      <c r="I106" s="3" t="inlineStr">
        <is>
          <t>multiflower</t>
        </is>
      </c>
      <c r="J106" s="3" t="n">
        <v>30</v>
      </c>
      <c r="K106" s="3" t="inlineStr">
        <is>
          <t>money</t>
        </is>
      </c>
      <c r="L106" s="3" t="n"/>
    </row>
    <row r="107" ht="30" customHeight="1">
      <c r="A107" s="1" t="n">
        <v>11</v>
      </c>
      <c r="B107" s="1" t="inlineStr">
        <is>
          <t>pot_multi_magic</t>
        </is>
      </c>
      <c r="C107" s="4" t="inlineStr">
        <is>
          <t>Adventure_3_Sport_Pot_Multi_Magic_9</t>
        </is>
      </c>
      <c r="D107" s="2" t="inlineStr">
        <is>
          <t>Adventure_4_11_Pot_Multi_Magic</t>
        </is>
      </c>
      <c r="E107" s="2" t="inlineStr">
        <is>
          <t>Волшебная мечта хозяюшки "Ледяная корона"</t>
        </is>
      </c>
      <c r="F107" s="2" t="inlineStr">
        <is>
          <t>Созданый трудолюбивыми пчелками горшочек! Выращивай сразу 5 волшебных цветочков!</t>
        </is>
      </c>
      <c r="G107" s="3" t="n"/>
      <c r="H107" s="3" t="n"/>
      <c r="I107" s="3" t="inlineStr">
        <is>
          <t>multimagic</t>
        </is>
      </c>
      <c r="J107" s="3" t="n">
        <v>50</v>
      </c>
      <c r="K107" s="3" t="inlineStr">
        <is>
          <t>money</t>
        </is>
      </c>
      <c r="L107" s="3" t="n"/>
    </row>
    <row r="108">
      <c r="A108" s="1" t="n">
        <v>11</v>
      </c>
      <c r="B108" s="1" t="inlineStr">
        <is>
          <t>trophy</t>
        </is>
      </c>
      <c r="C108" s="4" t="inlineStr">
        <is>
          <t>TrophyPet17_Sport_9</t>
        </is>
      </c>
      <c r="D108" s="2" t="inlineStr">
        <is>
          <t>TrophyPet17_Adventure_4_11</t>
        </is>
      </c>
      <c r="E108" s="2" t="inlineStr">
        <is>
          <t>Хомячок</t>
        </is>
      </c>
      <c r="F108" s="2" t="n"/>
      <c r="G108" s="3" t="n"/>
      <c r="H108" s="3" t="n"/>
      <c r="I108" s="3" t="n"/>
      <c r="J108" s="3" t="n"/>
      <c r="K108" s="3" t="n"/>
      <c r="L108" s="3" t="inlineStr">
        <is>
          <t>quest/trophy; find=replace=TrophyPet17_Sport_9</t>
        </is>
      </c>
    </row>
    <row r="109" ht="45" customHeight="1">
      <c r="A109" s="1" t="n">
        <v>11</v>
      </c>
      <c r="B109" s="1" t="inlineStr">
        <is>
          <t>box_1</t>
        </is>
      </c>
      <c r="C109" s="4" t="inlineStr">
        <is>
          <t>Adventure_3_Sport_Box_1</t>
        </is>
      </c>
      <c r="D109" s="2" t="inlineStr">
        <is>
          <t>Adventure_4_Box_1</t>
        </is>
      </c>
      <c r="E109" s="2" t="inlineStr">
        <is>
          <t>Коробка с подарками</t>
        </is>
      </c>
      <c r="F109" s="2" t="inlineStr">
        <is>
          <t>Содержит волшебную синюю жабу, дающую грошики раз в день.</t>
        </is>
      </c>
      <c r="G109" s="3" t="n"/>
      <c r="H109" s="3" t="n"/>
      <c r="I109" s="3" t="n"/>
      <c r="J109" s="3" t="n">
        <v>1</v>
      </c>
      <c r="K109" s="3" t="inlineStr">
        <is>
          <t>money_alt</t>
        </is>
      </c>
      <c r="L109" s="3" t="inlineStr">
        <is>
          <t>meta_info=plan=first; rand_reward={"all":[{"asset":"MoneyboxFrogBlue","amount":1},{"asset":"Shop_of_miracles_GR_1","amount":20}]}</t>
        </is>
      </c>
    </row>
    <row r="110" ht="75" customHeight="1">
      <c r="A110" s="1" t="n">
        <v>11</v>
      </c>
      <c r="B110" s="1" t="inlineStr">
        <is>
          <t>box_2</t>
        </is>
      </c>
      <c r="C110" s="4" t="inlineStr">
        <is>
          <t>Adventure_3_Sport_Box_2</t>
        </is>
      </c>
      <c r="D110" s="2" t="inlineStr">
        <is>
          <t>Adventure_4_Box_2</t>
        </is>
      </c>
      <c r="E110" s="2" t="inlineStr">
        <is>
          <t>Коробка с подарками</t>
        </is>
      </c>
      <c r="F110" s="2" t="inlineStr">
        <is>
          <t>Содержит: 2 бустера для мгновенной уборки мусора со всех горшков в локации, 15 оживителей, 15 ускорителей, 20 жетонов</t>
        </is>
      </c>
      <c r="G110" s="3" t="n"/>
      <c r="H110" s="3" t="n"/>
      <c r="I110" s="3" t="n"/>
      <c r="J110" s="3" t="n">
        <v>1</v>
      </c>
      <c r="K110" s="3" t="inlineStr">
        <is>
          <t>money_alt</t>
        </is>
      </c>
      <c r="L110" s="3" t="inlineStr">
        <is>
          <t>meta_info=plan=first; rand_reward={"all":[{"asset":"Stuff_Booster_CleanPot","amount":2},{"asset":"RecoverPlantBooster","amount":15},{"asset":"AccelerationPlantBooster","amount":15},{"asset":"AccelerateCraftingBooster","amount":20},{"asset":"Shop_of_miracles_GR_1","amount":30}]}</t>
        </is>
      </c>
    </row>
    <row r="111" ht="75" customHeight="1">
      <c r="A111" s="1" t="n">
        <v>11</v>
      </c>
      <c r="B111" s="1" t="inlineStr">
        <is>
          <t>box_3</t>
        </is>
      </c>
      <c r="C111" s="4" t="inlineStr">
        <is>
          <t>Adventure_3_Sport_Box_3</t>
        </is>
      </c>
      <c r="D111" s="2" t="inlineStr">
        <is>
          <t>Adventure_4_Box_3</t>
        </is>
      </c>
      <c r="E111" s="2" t="inlineStr">
        <is>
          <t>Коробка с подарками</t>
        </is>
      </c>
      <c r="F111" s="2" t="inlineStr">
        <is>
          <t>Коробка содержит: 4 бустеров для мгновенной уборки мусора со всех горшков в локации, 20 оживителей, 20 ускорителей, 30 жетонов</t>
        </is>
      </c>
      <c r="G111" s="3" t="n"/>
      <c r="H111" s="3" t="n"/>
      <c r="I111" s="3" t="n"/>
      <c r="J111" s="3" t="n">
        <v>1</v>
      </c>
      <c r="K111" s="3" t="inlineStr">
        <is>
          <t>money_alt</t>
        </is>
      </c>
      <c r="L111" s="3" t="inlineStr">
        <is>
          <t>meta_info=plan=first; rand_reward={"all":[{"asset":"Stuff_Booster_CleanPot","amount":4},{"asset":"RecoverPlantBooster","amount":20},{"asset":"AccelerationPlantBooster","amount":20},{"asset":"AccelerateCraftingBooster","amount":30},{"asset":"Shop_of_miracles_GR_1","amount":50}]}</t>
        </is>
      </c>
    </row>
    <row r="112">
      <c r="A112" s="1" t="n">
        <v>12</v>
      </c>
      <c r="B112" s="1" t="inlineStr">
        <is>
          <t>main_resource</t>
        </is>
      </c>
      <c r="C112" s="4" t="inlineStr">
        <is>
          <t>Adventure_GR_3</t>
        </is>
      </c>
      <c r="D112" s="2" t="inlineStr">
        <is>
          <t>Adventure_GR_4</t>
        </is>
      </c>
      <c r="E112" s="2" t="inlineStr">
        <is>
          <t>Сказочка</t>
        </is>
      </c>
      <c r="F112" s="2" t="n"/>
      <c r="G112" s="3" t="n"/>
      <c r="H112" s="3" t="n"/>
      <c r="I112" s="3" t="inlineStr">
        <is>
          <t>quest_resource</t>
        </is>
      </c>
      <c r="J112" s="3" t="n"/>
      <c r="K112" s="3" t="n"/>
      <c r="L112" s="3" t="inlineStr">
        <is>
          <t>is_hidden=1; inventory_section=constructor; id=81706</t>
        </is>
      </c>
    </row>
    <row r="113" ht="45" customHeight="1">
      <c r="A113" s="1" t="n">
        <v>12</v>
      </c>
      <c r="B113" s="1" t="inlineStr">
        <is>
          <t>pet</t>
        </is>
      </c>
      <c r="C113" s="4" t="inlineStr">
        <is>
          <t>Pet17_Sport_9</t>
        </is>
      </c>
      <c r="D113" s="3" t="inlineStr">
        <is>
          <t>Pet17_Adventure_4_12</t>
        </is>
      </c>
      <c r="E113" s="2" t="inlineStr">
        <is>
          <t>Зайчик</t>
        </is>
      </c>
      <c r="F113" s="2" t="inlineStr">
        <is>
          <t>Настоящий мастер огородных приключений! Он любит смешить друзей, собирать урожай и находить самые сладкие корешки.</t>
        </is>
      </c>
      <c r="G113" s="3" t="inlineStr">
        <is>
          <t>Моня</t>
        </is>
      </c>
      <c r="H113" s="3" t="inlineStr">
        <is>
          <t>Уникальный крохонька. Можно получить только в Сказочных приключениях.</t>
        </is>
      </c>
      <c r="I113" s="3" t="inlineStr">
        <is>
          <t>pet17</t>
        </is>
      </c>
      <c r="J113" s="3" t="inlineStr">
        <is>
          <t>open_price=money_alt=30000</t>
        </is>
      </c>
      <c r="K113" s="3" t="n"/>
      <c r="L113" s="3" t="inlineStr">
        <is>
          <t>event_frame=Adventure_4; feed_price=asset=FragrantGulls:1; title_feed=От 100% до 0% Сытость падает за 3д. Одно кормление прибавляет 80% Сытости.</t>
        </is>
      </c>
    </row>
    <row r="114" ht="45" customHeight="1">
      <c r="A114" s="1" t="n">
        <v>12</v>
      </c>
      <c r="B114" s="1" t="inlineStr">
        <is>
          <t>collection_item</t>
        </is>
      </c>
      <c r="C114" s="4" t="inlineStr">
        <is>
          <t>TrophyPet17_Sport_9</t>
        </is>
      </c>
      <c r="D114" s="2" t="inlineStr">
        <is>
          <t>TrophyPet17_Adventure_4_12</t>
        </is>
      </c>
      <c r="E114" s="2" t="inlineStr">
        <is>
          <t>Медалька "Зайчик"</t>
        </is>
      </c>
      <c r="F114" s="2" t="inlineStr">
        <is>
          <t>Раз в день можно получить бонус.</t>
        </is>
      </c>
      <c r="G114" s="3" t="n"/>
      <c r="H114" s="3" t="n"/>
      <c r="I114" s="3" t="n"/>
      <c r="J114" s="3" t="n"/>
      <c r="K114" s="3" t="n"/>
      <c r="L114" s="3" t="inlineStr">
        <is>
          <t>rand_reward.one_of=[{"xp":600,"p":38},{"xp":1200,"p":33},{"asset":"DomovoySpeedModifier_12h","amount":1,"p":20},{"asset":"FragrantGulls","amount":1,"p":5},{"money":1,"p":4}]</t>
        </is>
      </c>
    </row>
    <row r="115">
      <c r="A115" s="1" t="n">
        <v>12</v>
      </c>
      <c r="B115" s="1" t="inlineStr">
        <is>
          <t>furniture</t>
        </is>
      </c>
      <c r="C115" s="4" t="inlineStr">
        <is>
          <t>Adventure_3_Sport_Reward_9</t>
        </is>
      </c>
      <c r="D115" s="2" t="inlineStr">
        <is>
          <t>Adventure_4_12_Reward_1</t>
        </is>
      </c>
      <c r="E115" s="2" t="inlineStr">
        <is>
          <t>Декор "Морковный сюрприз"</t>
        </is>
      </c>
      <c r="F115" s="2" t="inlineStr">
        <is>
          <t>Прямо с грядочки для выших улыбок!</t>
        </is>
      </c>
      <c r="G115" s="3" t="n"/>
      <c r="H115" s="3" t="n"/>
      <c r="I115" s="3" t="inlineStr">
        <is>
          <t>big</t>
        </is>
      </c>
      <c r="J115" s="3" t="n">
        <v>9</v>
      </c>
      <c r="K115" s="3" t="inlineStr">
        <is>
          <t>money</t>
        </is>
      </c>
      <c r="L115" s="3" t="inlineStr">
        <is>
          <t>inventory_section=big;</t>
        </is>
      </c>
    </row>
    <row r="116" ht="30" customHeight="1">
      <c r="A116" s="1" t="n">
        <v>12</v>
      </c>
      <c r="B116" s="1" t="inlineStr">
        <is>
          <t>pot_multi</t>
        </is>
      </c>
      <c r="C116" s="4" t="inlineStr">
        <is>
          <t>Adventure_3_Sport_Pot_Multi_9</t>
        </is>
      </c>
      <c r="D116" s="2" t="inlineStr">
        <is>
          <t>Adventure_4_12_Pot_Multi_1</t>
        </is>
      </c>
      <c r="E116" s="2" t="inlineStr">
        <is>
          <t>Мечта хозяюшки "Зайчушкина избушка"</t>
        </is>
      </c>
      <c r="F116" s="2" t="inlineStr">
        <is>
          <t>Горшочек сочный любимый. Выращивай в нём по 5 цветов за раз!</t>
        </is>
      </c>
      <c r="G116" s="3" t="n"/>
      <c r="H116" s="3" t="n"/>
      <c r="I116" s="3" t="inlineStr">
        <is>
          <t>multiflower</t>
        </is>
      </c>
      <c r="J116" s="3" t="n">
        <v>30</v>
      </c>
      <c r="K116" s="3" t="inlineStr">
        <is>
          <t>money</t>
        </is>
      </c>
      <c r="L116" s="3" t="n"/>
    </row>
    <row r="117" ht="30" customHeight="1">
      <c r="A117" s="1" t="n">
        <v>12</v>
      </c>
      <c r="B117" s="1" t="inlineStr">
        <is>
          <t>pot_multi_magic</t>
        </is>
      </c>
      <c r="C117" s="4" t="inlineStr">
        <is>
          <t>Adventure_3_Sport_Pot_Multi_Magic_9</t>
        </is>
      </c>
      <c r="D117" s="2" t="inlineStr">
        <is>
          <t>Adventure_4_12_Pot_Multi_Magic</t>
        </is>
      </c>
      <c r="E117" s="2" t="inlineStr">
        <is>
          <t>Волшебная мечта хозяюшки "Морковный домик"</t>
        </is>
      </c>
      <c r="F117" s="2" t="inlineStr">
        <is>
          <t>И вкусно и питательно и доступное жильё! Выращивай сразу 5 волшебных цветочков!</t>
        </is>
      </c>
      <c r="G117" s="3" t="n"/>
      <c r="H117" s="3" t="n"/>
      <c r="I117" s="3" t="inlineStr">
        <is>
          <t>multimagic</t>
        </is>
      </c>
      <c r="J117" s="3" t="n">
        <v>50</v>
      </c>
      <c r="K117" s="3" t="inlineStr">
        <is>
          <t>money</t>
        </is>
      </c>
      <c r="L117" s="3" t="n"/>
    </row>
    <row r="118">
      <c r="A118" s="1" t="n">
        <v>12</v>
      </c>
      <c r="B118" s="1" t="inlineStr">
        <is>
          <t>trophy</t>
        </is>
      </c>
      <c r="C118" s="4" t="inlineStr">
        <is>
          <t>TrophyPet17_Sport_9</t>
        </is>
      </c>
      <c r="D118" s="2" t="inlineStr">
        <is>
          <t>TrophyPet17_Adventure_4_12</t>
        </is>
      </c>
      <c r="E118" s="2" t="inlineStr">
        <is>
          <t>Зайчик</t>
        </is>
      </c>
      <c r="F118" s="2" t="n"/>
      <c r="G118" s="3" t="n"/>
      <c r="H118" s="3" t="n"/>
      <c r="I118" s="3" t="n"/>
      <c r="J118" s="3" t="n"/>
      <c r="K118" s="3" t="n"/>
      <c r="L118" s="3" t="inlineStr">
        <is>
          <t>quest/trophy; find=replace=TrophyPet17_Sport_9</t>
        </is>
      </c>
    </row>
    <row r="119" ht="45" customHeight="1">
      <c r="A119" s="1" t="n">
        <v>12</v>
      </c>
      <c r="B119" s="1" t="inlineStr">
        <is>
          <t>box_1</t>
        </is>
      </c>
      <c r="C119" s="4" t="inlineStr">
        <is>
          <t>Adventure_3_Sport_Box_1</t>
        </is>
      </c>
      <c r="D119" s="2" t="inlineStr">
        <is>
          <t>Adventure_4_Box_1</t>
        </is>
      </c>
      <c r="E119" s="2" t="inlineStr">
        <is>
          <t>Коробка с подарками</t>
        </is>
      </c>
      <c r="F119" s="2" t="inlineStr">
        <is>
          <t>Содержит волшебную синюю жабу, дающую грошики раз в день.</t>
        </is>
      </c>
      <c r="G119" s="3" t="n"/>
      <c r="H119" s="3" t="n"/>
      <c r="I119" s="3" t="n"/>
      <c r="J119" s="3" t="n">
        <v>1</v>
      </c>
      <c r="K119" s="3" t="inlineStr">
        <is>
          <t>money_alt</t>
        </is>
      </c>
      <c r="L119" s="3" t="inlineStr">
        <is>
          <t>meta_info=plan=first; rand_reward={"all":[{"asset":"MoneyboxFrogBlue","amount":1},{"asset":"Shop_of_miracles_GR_1","amount":20}]}</t>
        </is>
      </c>
    </row>
    <row r="120" ht="75" customHeight="1">
      <c r="A120" s="1" t="n">
        <v>12</v>
      </c>
      <c r="B120" s="1" t="inlineStr">
        <is>
          <t>box_2</t>
        </is>
      </c>
      <c r="C120" s="4" t="inlineStr">
        <is>
          <t>Adventure_3_Sport_Box_2</t>
        </is>
      </c>
      <c r="D120" s="2" t="inlineStr">
        <is>
          <t>Adventure_4_Box_2</t>
        </is>
      </c>
      <c r="E120" s="2" t="inlineStr">
        <is>
          <t>Коробка с подарками</t>
        </is>
      </c>
      <c r="F120" s="2" t="inlineStr">
        <is>
          <t>Содержит: 2 бустера для мгновенной уборки мусора со всех горшков в локации, 15 оживителей, 15 ускорителей, 20 жетонов</t>
        </is>
      </c>
      <c r="G120" s="3" t="n"/>
      <c r="H120" s="3" t="n"/>
      <c r="I120" s="3" t="n"/>
      <c r="J120" s="3" t="n">
        <v>1</v>
      </c>
      <c r="K120" s="3" t="inlineStr">
        <is>
          <t>money_alt</t>
        </is>
      </c>
      <c r="L120" s="3" t="inlineStr">
        <is>
          <t>meta_info=plan=first; rand_reward={"all":[{"asset":"Stuff_Booster_CleanPot","amount":2},{"asset":"RecoverPlantBooster","amount":15},{"asset":"AccelerationPlantBooster","amount":15},{"asset":"AccelerateCraftingBooster","amount":20},{"asset":"Shop_of_miracles_GR_1","amount":30}]}</t>
        </is>
      </c>
    </row>
    <row r="121" ht="75" customHeight="1">
      <c r="A121" s="1" t="n">
        <v>12</v>
      </c>
      <c r="B121" s="1" t="inlineStr">
        <is>
          <t>box_3</t>
        </is>
      </c>
      <c r="C121" s="4" t="inlineStr">
        <is>
          <t>Adventure_3_Sport_Box_3</t>
        </is>
      </c>
      <c r="D121" s="2" t="inlineStr">
        <is>
          <t>Adventure_4_Box_3</t>
        </is>
      </c>
      <c r="E121" s="2" t="inlineStr">
        <is>
          <t>Коробка с подарками</t>
        </is>
      </c>
      <c r="F121" s="2" t="inlineStr">
        <is>
          <t>Коробка содержит: 4 бустеров для мгновенной уборки мусора со всех горшков в локации, 20 оживителей, 20 ускорителей, 30 жетонов</t>
        </is>
      </c>
      <c r="G121" s="3" t="n"/>
      <c r="H121" s="3" t="n"/>
      <c r="I121" s="3" t="n"/>
      <c r="J121" s="3" t="n">
        <v>1</v>
      </c>
      <c r="K121" s="3" t="inlineStr">
        <is>
          <t>money_alt</t>
        </is>
      </c>
      <c r="L121" s="3" t="inlineStr">
        <is>
          <t>meta_info=plan=first; rand_reward={"all":[{"asset":"Stuff_Booster_CleanPot","amount":4},{"asset":"RecoverPlantBooster","amount":20},{"asset":"AccelerationPlantBooster","amount":20},{"asset":"AccelerateCraftingBooster","amount":30},{"asset":"Shop_of_miracles_GR_1","amount":50}]}</t>
        </is>
      </c>
    </row>
  </sheetData>
  <autoFilter ref="A1:L121"/>
  <dataValidations count="1">
    <dataValidation sqref="B2:B200" showDropDown="0" showInputMessage="0" showErrorMessage="0" allowBlank="1" type="list">
      <formula1>"main_resource,pet,collection_item,furniture,pot_multi,pot_multi_magic,trophy,box_1,box_2,box_3,other"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0" workbookViewId="0">
      <pane ySplit="1" topLeftCell="A2" activePane="bottomLeft" state="frozen"/>
      <selection pane="bottomLeft" activeCell="F7" sqref="F7"/>
    </sheetView>
  </sheetViews>
  <sheetFormatPr baseColWidth="8" defaultRowHeight="15"/>
  <cols>
    <col width="10" customWidth="1" min="1" max="1"/>
    <col width="18" customWidth="1" min="2" max="2"/>
    <col width="34" customWidth="1" min="3" max="4"/>
    <col width="28" customWidth="1" min="5" max="5"/>
    <col width="48" customWidth="1" min="6" max="6"/>
    <col width="38" customWidth="1" min="7" max="7"/>
    <col width="88" customWidth="1" min="8" max="8"/>
    <col width="48" customWidth="1" min="9" max="9"/>
  </cols>
  <sheetData>
    <row r="1" ht="33.95" customHeight="1">
      <c r="A1" s="11" t="inlineStr">
        <is>
          <t>pack_no</t>
        </is>
      </c>
      <c r="B1" s="11" t="inlineStr">
        <is>
          <t>quest_key</t>
        </is>
      </c>
      <c r="C1" s="11" t="inlineStr">
        <is>
          <t>reference_identifier</t>
        </is>
      </c>
      <c r="D1" s="11" t="inlineStr">
        <is>
          <t>new_identifier</t>
        </is>
      </c>
      <c r="E1" s="11" t="inlineStr">
        <is>
          <t>title</t>
        </is>
      </c>
      <c r="F1" s="11" t="inlineStr">
        <is>
          <t>description</t>
        </is>
      </c>
      <c r="G1" s="11" t="inlineStr">
        <is>
          <t>congratulation</t>
        </is>
      </c>
      <c r="H1" s="11" t="inlineStr">
        <is>
          <t>rule_window_description</t>
        </is>
      </c>
      <c r="I1" s="11" t="inlineStr">
        <is>
          <t>notes</t>
        </is>
      </c>
    </row>
    <row r="2" ht="45" customHeight="1">
      <c r="A2" s="1" t="n">
        <v>1</v>
      </c>
      <c r="B2" s="1" t="inlineStr">
        <is>
          <t>main_quest</t>
        </is>
      </c>
      <c r="C2" s="4" t="inlineStr">
        <is>
          <t>Adventure_3_Sport_9_quest</t>
        </is>
      </c>
      <c r="D2" s="2">
        <f>'01_Паки'!C2&amp;"_quest"</f>
        <v/>
      </c>
      <c r="E2" s="2" t="n"/>
      <c r="F2" s="3" t="n"/>
      <c r="G2" s="3" t="n"/>
      <c r="H2" s="3" t="n"/>
      <c r="I2" s="3" t="inlineStr">
        <is>
          <t>Главный технический quest. В шаблоне меняется identifier/replace, видимого title нет.</t>
        </is>
      </c>
    </row>
    <row r="3" ht="30" customHeight="1">
      <c r="A3" s="1" t="n">
        <v>1</v>
      </c>
      <c r="B3" s="1" t="inlineStr">
        <is>
          <t>quest_task_1</t>
        </is>
      </c>
      <c r="C3" s="4" t="inlineStr">
        <is>
          <t>Adventure_3_Sport_9_quest_task_1</t>
        </is>
      </c>
      <c r="D3" s="2">
        <f>'01_Паки'!C2&amp;"_quest_task_1"</f>
        <v/>
      </c>
      <c r="E3" s="2" t="n"/>
      <c r="F3" s="3" t="n"/>
      <c r="G3" s="3" t="n"/>
      <c r="H3" s="3" t="n"/>
      <c r="I3" s="3" t="inlineStr">
        <is>
          <t>Задача 1 основного adventure quest. Видимые поля наследуются из донора.</t>
        </is>
      </c>
    </row>
    <row r="4" ht="30" customHeight="1">
      <c r="A4" s="1" t="n">
        <v>1</v>
      </c>
      <c r="B4" s="1" t="inlineStr">
        <is>
          <t>quest_task_2</t>
        </is>
      </c>
      <c r="C4" s="4" t="inlineStr">
        <is>
          <t>Adventure_3_Sport_9_quest_task_2</t>
        </is>
      </c>
      <c r="D4" s="2">
        <f>'01_Паки'!C2&amp;"_quest_task_2"</f>
        <v/>
      </c>
      <c r="E4" s="2" t="n"/>
      <c r="F4" s="3" t="n"/>
      <c r="G4" s="3" t="n"/>
      <c r="H4" s="3" t="n"/>
      <c r="I4" s="3" t="inlineStr">
        <is>
          <t>Задача 2 основного adventure quest. Видимые поля наследуются из донора.</t>
        </is>
      </c>
    </row>
    <row r="5" ht="30" customHeight="1">
      <c r="A5" s="1" t="n">
        <v>1</v>
      </c>
      <c r="B5" s="1" t="inlineStr">
        <is>
          <t>quest_task_3</t>
        </is>
      </c>
      <c r="C5" s="4" t="inlineStr">
        <is>
          <t>Adventure_3_Sport_9_quest_task_3</t>
        </is>
      </c>
      <c r="D5" s="2">
        <f>'01_Паки'!C2&amp;"_quest_task_3"</f>
        <v/>
      </c>
      <c r="E5" s="2" t="n"/>
      <c r="F5" s="3" t="n"/>
      <c r="G5" s="3" t="n"/>
      <c r="H5" s="3" t="n"/>
      <c r="I5" s="3" t="inlineStr">
        <is>
          <t>Задача 3 основного adventure quest. Видимые поля наследуются из донора.</t>
        </is>
      </c>
    </row>
    <row r="6" ht="30" customHeight="1">
      <c r="A6" s="1" t="n">
        <v>1</v>
      </c>
      <c r="B6" s="1" t="inlineStr">
        <is>
          <t>rewards_quest</t>
        </is>
      </c>
      <c r="C6" s="4" t="inlineStr">
        <is>
          <t>Adventure_3_Sport_9_rewards</t>
        </is>
      </c>
      <c r="D6" s="2">
        <f>'01_Паки'!C2&amp;"_rewards"</f>
        <v/>
      </c>
      <c r="E6" s="2">
        <f>'01_Паки'!F2</f>
        <v/>
      </c>
      <c r="F6" s="3" t="n"/>
      <c r="G6" s="3" t="inlineStr">
        <is>
          <t>Сказочный турнир</t>
        </is>
      </c>
      <c r="H6" s="3" t="n"/>
      <c r="I6" s="3" t="inlineStr">
        <is>
          <t>Шапка rewards quest. Сами milestones лежат на 05_Награды.</t>
        </is>
      </c>
    </row>
    <row r="7" ht="120" customHeight="1">
      <c r="A7" s="1" t="n">
        <v>1</v>
      </c>
      <c r="B7" s="1" t="inlineStr">
        <is>
          <t>quest_group</t>
        </is>
      </c>
      <c r="C7" s="4" t="inlineStr">
        <is>
          <t>Adventure_3_Sport_9</t>
        </is>
      </c>
      <c r="D7" s="2">
        <f>'01_Паки'!C2</f>
        <v/>
      </c>
      <c r="E7" s="2">
        <f>'01_Паки'!G2</f>
        <v/>
      </c>
      <c r="F7" s="3" t="n"/>
      <c r="G7" s="3" t="n"/>
      <c r="H7" s="3" t="inlineStr">
        <is>
          <t>Сказочные соревнования - это особое событие, в котором требуется выполнять задания за ограниченное время. Кроме выполнения, любое задание можно сбросить, тогда оно исчезнет. В обоих случаях нужно подождать 30 минут, чтобы получить новое задание. А если выполнить все 3 задания, то мгновенно появятся 3 новых! Выполняя задания, ты получаешь Сказочки, а набрав нужное количество, получишь награду и будешь двигаться к следующей. Среди наград - сказочный декор, волшебство, волшебная жаба, волшебные сказочные горшочки, а главный приз - новый уникальный крохонька! Не теряйте времени! У вас есть всего 2 дня чтобы получить все награды, удачи!</t>
        </is>
      </c>
      <c r="I7" s="3" t="inlineStr">
        <is>
          <t>Quest group window/rules. Тут особенно важно убрать старую тему из текста правил.</t>
        </is>
      </c>
    </row>
    <row r="8">
      <c r="A8" s="1" t="n">
        <v>2</v>
      </c>
      <c r="B8" s="1" t="inlineStr">
        <is>
          <t>main_quest</t>
        </is>
      </c>
      <c r="C8" s="4" t="inlineStr">
        <is>
          <t>Adventure_3_Sport_9_quest</t>
        </is>
      </c>
      <c r="D8" s="2">
        <f>'01_Паки'!C3&amp;"_quest"</f>
        <v/>
      </c>
      <c r="E8" s="2" t="n"/>
      <c r="F8" s="3" t="n"/>
      <c r="G8" s="3" t="n"/>
      <c r="H8" s="3" t="n"/>
      <c r="I8" s="3" t="n"/>
    </row>
    <row r="9">
      <c r="A9" s="1" t="n">
        <v>2</v>
      </c>
      <c r="B9" s="1" t="inlineStr">
        <is>
          <t>quest_task_1</t>
        </is>
      </c>
      <c r="C9" s="4" t="inlineStr">
        <is>
          <t>Adventure_3_Sport_9_quest_task_1</t>
        </is>
      </c>
      <c r="D9" s="2">
        <f>'01_Паки'!C3&amp;"_quest_task_1"</f>
        <v/>
      </c>
      <c r="E9" s="2" t="n"/>
      <c r="F9" s="3" t="n"/>
      <c r="G9" s="3" t="n"/>
      <c r="H9" s="3" t="n"/>
      <c r="I9" s="3" t="n"/>
    </row>
    <row r="10">
      <c r="A10" s="1" t="n">
        <v>2</v>
      </c>
      <c r="B10" s="1" t="inlineStr">
        <is>
          <t>quest_task_2</t>
        </is>
      </c>
      <c r="C10" s="4" t="inlineStr">
        <is>
          <t>Adventure_3_Sport_9_quest_task_2</t>
        </is>
      </c>
      <c r="D10" s="2">
        <f>'01_Паки'!C3&amp;"_quest_task_2"</f>
        <v/>
      </c>
      <c r="E10" s="2" t="n"/>
      <c r="F10" s="3" t="n"/>
      <c r="G10" s="3" t="n"/>
      <c r="H10" s="3" t="n"/>
      <c r="I10" s="3" t="n"/>
    </row>
    <row r="11">
      <c r="A11" s="1" t="n">
        <v>2</v>
      </c>
      <c r="B11" s="1" t="inlineStr">
        <is>
          <t>quest_task_3</t>
        </is>
      </c>
      <c r="C11" s="4" t="inlineStr">
        <is>
          <t>Adventure_3_Sport_9_quest_task_3</t>
        </is>
      </c>
      <c r="D11" s="2">
        <f>'01_Паки'!C3&amp;"_quest_task_3"</f>
        <v/>
      </c>
      <c r="E11" s="2" t="n"/>
      <c r="F11" s="3" t="n"/>
      <c r="G11" s="3" t="n"/>
      <c r="H11" s="3" t="n"/>
      <c r="I11" s="3" t="n"/>
    </row>
    <row r="12">
      <c r="A12" s="1" t="n">
        <v>2</v>
      </c>
      <c r="B12" s="1" t="inlineStr">
        <is>
          <t>rewards_quest</t>
        </is>
      </c>
      <c r="C12" s="4" t="inlineStr">
        <is>
          <t>Adventure_3_Sport_9_rewards</t>
        </is>
      </c>
      <c r="D12" s="2">
        <f>'01_Паки'!C3&amp;"_rewards"</f>
        <v/>
      </c>
      <c r="E12" s="2">
        <f>'01_Паки'!F3</f>
        <v/>
      </c>
      <c r="F12" s="3" t="n"/>
      <c r="G12" s="3" t="inlineStr">
        <is>
          <t>Сказочный турнир</t>
        </is>
      </c>
      <c r="H12" s="3" t="n"/>
      <c r="I12" s="3" t="n"/>
    </row>
    <row r="13" ht="120" customHeight="1">
      <c r="A13" s="1" t="n">
        <v>2</v>
      </c>
      <c r="B13" s="1" t="inlineStr">
        <is>
          <t>quest_group</t>
        </is>
      </c>
      <c r="C13" s="4" t="inlineStr">
        <is>
          <t>Adventure_3_Sport_9</t>
        </is>
      </c>
      <c r="D13" s="2">
        <f>'01_Паки'!C3</f>
        <v/>
      </c>
      <c r="E13" s="2">
        <f>'01_Паки'!G3</f>
        <v/>
      </c>
      <c r="F13" s="3" t="n"/>
      <c r="G13" s="3" t="n"/>
      <c r="H13" s="3" t="inlineStr">
        <is>
          <t>Сказочные соревнования - это особое событие, в котором требуется выполнять задания за ограниченное время. Кроме выполнения, любое задание можно сбросить, тогда оно исчезнет. В обоих случаях нужно подождать 30 минут, чтобы получить новое задание. А если выполнить все 3 задания, то мгновенно появятся 3 новых! Выполняя задания, ты получаешь Сказочки, а набрав нужное количество, получишь награду и будешь двигаться к следующей. Среди наград - сказочный декор, волшебство, волшебная жаба, волшебные сказочные горшочки, а главный приз - новый уникальный крохонька! Не теряйте времени! У вас есть всего 2 дня чтобы получить все награды, удачи!</t>
        </is>
      </c>
      <c r="I13" s="3" t="n"/>
    </row>
    <row r="14">
      <c r="A14" s="1" t="n">
        <v>3</v>
      </c>
      <c r="B14" s="1" t="inlineStr">
        <is>
          <t>main_quest</t>
        </is>
      </c>
      <c r="C14" s="4" t="inlineStr">
        <is>
          <t>Adventure_3_Sport_9_quest</t>
        </is>
      </c>
      <c r="D14" s="2">
        <f>'01_Паки'!C4&amp;"_quest"</f>
        <v/>
      </c>
      <c r="E14" s="2" t="n"/>
      <c r="F14" s="3" t="n"/>
      <c r="G14" s="3" t="n"/>
      <c r="H14" s="3" t="n"/>
      <c r="I14" s="3" t="n"/>
    </row>
    <row r="15">
      <c r="A15" s="1" t="n">
        <v>3</v>
      </c>
      <c r="B15" s="1" t="inlineStr">
        <is>
          <t>quest_task_1</t>
        </is>
      </c>
      <c r="C15" s="4" t="inlineStr">
        <is>
          <t>Adventure_3_Sport_9_quest_task_1</t>
        </is>
      </c>
      <c r="D15" s="2">
        <f>'01_Паки'!C4&amp;"_quest_task_1"</f>
        <v/>
      </c>
      <c r="E15" s="2" t="n"/>
      <c r="F15" s="3" t="n"/>
      <c r="G15" s="3" t="n"/>
      <c r="H15" s="3" t="n"/>
      <c r="I15" s="3" t="n"/>
    </row>
    <row r="16">
      <c r="A16" s="1" t="n">
        <v>3</v>
      </c>
      <c r="B16" s="1" t="inlineStr">
        <is>
          <t>quest_task_2</t>
        </is>
      </c>
      <c r="C16" s="4" t="inlineStr">
        <is>
          <t>Adventure_3_Sport_9_quest_task_2</t>
        </is>
      </c>
      <c r="D16" s="2">
        <f>'01_Паки'!C4&amp;"_quest_task_2"</f>
        <v/>
      </c>
      <c r="E16" s="2" t="n"/>
      <c r="F16" s="3" t="n"/>
      <c r="G16" s="3" t="n"/>
      <c r="H16" s="3" t="n"/>
      <c r="I16" s="3" t="n"/>
    </row>
    <row r="17">
      <c r="A17" s="1" t="n">
        <v>3</v>
      </c>
      <c r="B17" s="1" t="inlineStr">
        <is>
          <t>quest_task_3</t>
        </is>
      </c>
      <c r="C17" s="4" t="inlineStr">
        <is>
          <t>Adventure_3_Sport_9_quest_task_3</t>
        </is>
      </c>
      <c r="D17" s="2">
        <f>'01_Паки'!C4&amp;"_quest_task_3"</f>
        <v/>
      </c>
      <c r="E17" s="2" t="n"/>
      <c r="F17" s="3" t="n"/>
      <c r="G17" s="3" t="n"/>
      <c r="H17" s="3" t="n"/>
      <c r="I17" s="3" t="n"/>
    </row>
    <row r="18">
      <c r="A18" s="1" t="n">
        <v>3</v>
      </c>
      <c r="B18" s="1" t="inlineStr">
        <is>
          <t>rewards_quest</t>
        </is>
      </c>
      <c r="C18" s="4" t="inlineStr">
        <is>
          <t>Adventure_3_Sport_9_rewards</t>
        </is>
      </c>
      <c r="D18" s="2">
        <f>'01_Паки'!C4&amp;"_rewards"</f>
        <v/>
      </c>
      <c r="E18" s="2">
        <f>'01_Паки'!F4</f>
        <v/>
      </c>
      <c r="F18" s="3" t="n"/>
      <c r="G18" s="3" t="inlineStr">
        <is>
          <t>Сказочный турнир</t>
        </is>
      </c>
      <c r="H18" s="3" t="n"/>
      <c r="I18" s="3" t="n"/>
    </row>
    <row r="19" ht="120" customHeight="1">
      <c r="A19" s="1" t="n">
        <v>3</v>
      </c>
      <c r="B19" s="1" t="inlineStr">
        <is>
          <t>quest_group</t>
        </is>
      </c>
      <c r="C19" s="4" t="inlineStr">
        <is>
          <t>Adventure_3_Sport_9</t>
        </is>
      </c>
      <c r="D19" s="2">
        <f>'01_Паки'!C4</f>
        <v/>
      </c>
      <c r="E19" s="2">
        <f>'01_Паки'!G4</f>
        <v/>
      </c>
      <c r="F19" s="3" t="n"/>
      <c r="G19" s="3" t="n"/>
      <c r="H19" s="3" t="inlineStr">
        <is>
          <t>Сказочные соревнования - это особое событие, в котором требуется выполнять задания за ограниченное время. Кроме выполнения, любое задание можно сбросить, тогда оно исчезнет. В обоих случаях нужно подождать 30 минут, чтобы получить новое задание. А если выполнить все 3 задания, то мгновенно появятся 3 новых! Выполняя задания, ты получаешь Сказочки, а набрав нужное количество, получишь награду и будешь двигаться к следующей. Среди наград - сказочный декор, волшебство, волшебная жаба, волшебные сказочные горшочки, а главный приз - новый уникальный крохонька! Не теряйте времени! У вас есть всего 2 дня чтобы получить все награды, удачи!</t>
        </is>
      </c>
      <c r="I19" s="3" t="n"/>
    </row>
    <row r="20">
      <c r="A20" s="1" t="n">
        <v>4</v>
      </c>
      <c r="B20" s="1" t="inlineStr">
        <is>
          <t>main_quest</t>
        </is>
      </c>
      <c r="C20" s="4" t="inlineStr">
        <is>
          <t>Adventure_3_Sport_9_quest</t>
        </is>
      </c>
      <c r="D20" s="2">
        <f>'01_Паки'!C5&amp;"_quest"</f>
        <v/>
      </c>
      <c r="E20" s="2" t="n"/>
      <c r="F20" s="3" t="n"/>
      <c r="G20" s="3" t="n"/>
      <c r="H20" s="3" t="n"/>
      <c r="I20" s="3" t="n"/>
    </row>
    <row r="21">
      <c r="A21" s="1" t="n">
        <v>4</v>
      </c>
      <c r="B21" s="1" t="inlineStr">
        <is>
          <t>quest_task_1</t>
        </is>
      </c>
      <c r="C21" s="4" t="inlineStr">
        <is>
          <t>Adventure_3_Sport_9_quest_task_1</t>
        </is>
      </c>
      <c r="D21" s="2">
        <f>'01_Паки'!C5&amp;"_quest_task_1"</f>
        <v/>
      </c>
      <c r="E21" s="2" t="n"/>
      <c r="F21" s="3" t="n"/>
      <c r="G21" s="3" t="n"/>
      <c r="H21" s="3" t="n"/>
      <c r="I21" s="3" t="n"/>
    </row>
    <row r="22">
      <c r="A22" s="1" t="n">
        <v>4</v>
      </c>
      <c r="B22" s="1" t="inlineStr">
        <is>
          <t>quest_task_2</t>
        </is>
      </c>
      <c r="C22" s="4" t="inlineStr">
        <is>
          <t>Adventure_3_Sport_9_quest_task_2</t>
        </is>
      </c>
      <c r="D22" s="2">
        <f>'01_Паки'!C5&amp;"_quest_task_2"</f>
        <v/>
      </c>
      <c r="E22" s="2" t="n"/>
      <c r="F22" s="3" t="n"/>
      <c r="G22" s="3" t="n"/>
      <c r="H22" s="3" t="n"/>
      <c r="I22" s="3" t="n"/>
    </row>
    <row r="23">
      <c r="A23" s="1" t="n">
        <v>4</v>
      </c>
      <c r="B23" s="1" t="inlineStr">
        <is>
          <t>quest_task_3</t>
        </is>
      </c>
      <c r="C23" s="4" t="inlineStr">
        <is>
          <t>Adventure_3_Sport_9_quest_task_3</t>
        </is>
      </c>
      <c r="D23" s="2">
        <f>'01_Паки'!C5&amp;"_quest_task_3"</f>
        <v/>
      </c>
      <c r="E23" s="2" t="n"/>
      <c r="F23" s="3" t="n"/>
      <c r="G23" s="3" t="n"/>
      <c r="H23" s="3" t="n"/>
      <c r="I23" s="3" t="n"/>
    </row>
    <row r="24">
      <c r="A24" s="1" t="n">
        <v>4</v>
      </c>
      <c r="B24" s="1" t="inlineStr">
        <is>
          <t>rewards_quest</t>
        </is>
      </c>
      <c r="C24" s="4" t="inlineStr">
        <is>
          <t>Adventure_3_Sport_9_rewards</t>
        </is>
      </c>
      <c r="D24" s="2">
        <f>'01_Паки'!C5&amp;"_rewards"</f>
        <v/>
      </c>
      <c r="E24" s="2">
        <f>'01_Паки'!F5</f>
        <v/>
      </c>
      <c r="F24" s="3" t="n"/>
      <c r="G24" s="3" t="inlineStr">
        <is>
          <t>Сказочный турнир</t>
        </is>
      </c>
      <c r="H24" s="3" t="n"/>
      <c r="I24" s="3" t="n"/>
    </row>
    <row r="25" ht="120" customHeight="1">
      <c r="A25" s="1" t="n">
        <v>4</v>
      </c>
      <c r="B25" s="1" t="inlineStr">
        <is>
          <t>quest_group</t>
        </is>
      </c>
      <c r="C25" s="4" t="inlineStr">
        <is>
          <t>Adventure_3_Sport_9</t>
        </is>
      </c>
      <c r="D25" s="2">
        <f>'01_Паки'!C5</f>
        <v/>
      </c>
      <c r="E25" s="2">
        <f>'01_Паки'!G5</f>
        <v/>
      </c>
      <c r="F25" s="3" t="n"/>
      <c r="G25" s="3" t="n"/>
      <c r="H25" s="3" t="inlineStr">
        <is>
          <t>Сказочные соревнования - это особое событие, в котором требуется выполнять задания за ограниченное время. Кроме выполнения, любое задание можно сбросить, тогда оно исчезнет. В обоих случаях нужно подождать 30 минут, чтобы получить новое задание. А если выполнить все 3 задания, то мгновенно появятся 3 новых! Выполняя задания, ты получаешь Сказочки, а набрав нужное количество, получишь награду и будешь двигаться к следующей. Среди наград - сказочный декор, волшебство, волшебная жаба, волшебные сказочные горшочки, а главный приз - новый уникальный крохонька! Не теряйте времени! У вас есть всего 2 дня чтобы получить все награды, удачи!</t>
        </is>
      </c>
      <c r="I25" s="3" t="n"/>
    </row>
    <row r="26">
      <c r="A26" s="1" t="n">
        <v>5</v>
      </c>
      <c r="B26" s="1" t="inlineStr">
        <is>
          <t>main_quest</t>
        </is>
      </c>
      <c r="C26" s="4" t="inlineStr">
        <is>
          <t>Adventure_3_Sport_9_quest</t>
        </is>
      </c>
      <c r="D26" s="2">
        <f>'01_Паки'!C6&amp;"_quest"</f>
        <v/>
      </c>
      <c r="E26" s="2" t="n"/>
      <c r="F26" s="3" t="n"/>
      <c r="G26" s="3" t="n"/>
      <c r="H26" s="3" t="n"/>
      <c r="I26" s="3" t="n"/>
    </row>
    <row r="27">
      <c r="A27" s="1" t="n">
        <v>5</v>
      </c>
      <c r="B27" s="1" t="inlineStr">
        <is>
          <t>quest_task_1</t>
        </is>
      </c>
      <c r="C27" s="4" t="inlineStr">
        <is>
          <t>Adventure_3_Sport_9_quest_task_1</t>
        </is>
      </c>
      <c r="D27" s="2">
        <f>'01_Паки'!C6&amp;"_quest_task_1"</f>
        <v/>
      </c>
      <c r="E27" s="2" t="n"/>
      <c r="F27" s="3" t="n"/>
      <c r="G27" s="3" t="n"/>
      <c r="H27" s="3" t="n"/>
      <c r="I27" s="3" t="n"/>
    </row>
    <row r="28">
      <c r="A28" s="1" t="n">
        <v>5</v>
      </c>
      <c r="B28" s="1" t="inlineStr">
        <is>
          <t>quest_task_2</t>
        </is>
      </c>
      <c r="C28" s="4" t="inlineStr">
        <is>
          <t>Adventure_3_Sport_9_quest_task_2</t>
        </is>
      </c>
      <c r="D28" s="2">
        <f>'01_Паки'!C6&amp;"_quest_task_2"</f>
        <v/>
      </c>
      <c r="E28" s="2" t="n"/>
      <c r="F28" s="3" t="n"/>
      <c r="G28" s="3" t="n"/>
      <c r="H28" s="3" t="n"/>
      <c r="I28" s="3" t="n"/>
    </row>
    <row r="29">
      <c r="A29" s="1" t="n">
        <v>5</v>
      </c>
      <c r="B29" s="1" t="inlineStr">
        <is>
          <t>quest_task_3</t>
        </is>
      </c>
      <c r="C29" s="4" t="inlineStr">
        <is>
          <t>Adventure_3_Sport_9_quest_task_3</t>
        </is>
      </c>
      <c r="D29" s="2">
        <f>'01_Паки'!C6&amp;"_quest_task_3"</f>
        <v/>
      </c>
      <c r="E29" s="2" t="n"/>
      <c r="F29" s="3" t="n"/>
      <c r="G29" s="3" t="n"/>
      <c r="H29" s="3" t="n"/>
      <c r="I29" s="3" t="n"/>
    </row>
    <row r="30">
      <c r="A30" s="1" t="n">
        <v>5</v>
      </c>
      <c r="B30" s="1" t="inlineStr">
        <is>
          <t>rewards_quest</t>
        </is>
      </c>
      <c r="C30" s="4" t="inlineStr">
        <is>
          <t>Adventure_3_Sport_9_rewards</t>
        </is>
      </c>
      <c r="D30" s="2">
        <f>'01_Паки'!C6&amp;"_rewards"</f>
        <v/>
      </c>
      <c r="E30" s="2">
        <f>'01_Паки'!F6</f>
        <v/>
      </c>
      <c r="F30" s="3" t="n"/>
      <c r="G30" s="3" t="inlineStr">
        <is>
          <t>Сказочный турнир</t>
        </is>
      </c>
      <c r="H30" s="3" t="n"/>
      <c r="I30" s="3" t="n"/>
    </row>
    <row r="31" ht="120" customHeight="1">
      <c r="A31" s="1" t="n">
        <v>5</v>
      </c>
      <c r="B31" s="1" t="inlineStr">
        <is>
          <t>quest_group</t>
        </is>
      </c>
      <c r="C31" s="4" t="inlineStr">
        <is>
          <t>Adventure_3_Sport_9</t>
        </is>
      </c>
      <c r="D31" s="2">
        <f>'01_Паки'!C6</f>
        <v/>
      </c>
      <c r="E31" s="2">
        <f>'01_Паки'!G6</f>
        <v/>
      </c>
      <c r="F31" s="3" t="n"/>
      <c r="G31" s="3" t="n"/>
      <c r="H31" s="3" t="inlineStr">
        <is>
          <t>Сказочные соревнования - это особое событие, в котором требуется выполнять задания за ограниченное время. Кроме выполнения, любое задание можно сбросить, тогда оно исчезнет. В обоих случаях нужно подождать 30 минут, чтобы получить новое задание. А если выполнить все 3 задания, то мгновенно появятся 3 новых! Выполняя задания, ты получаешь Сказочки, а набрав нужное количество, получишь награду и будешь двигаться к следующей. Среди наград - сказочный декор, волшебство, волшебная жаба, волшебные сказочные горшочки, а главный приз - новый уникальный крохонька! Не теряйте времени! У вас есть всего 2 дня чтобы получить все награды, удачи!</t>
        </is>
      </c>
      <c r="I31" s="3" t="n"/>
    </row>
    <row r="32">
      <c r="A32" s="1" t="n">
        <v>6</v>
      </c>
      <c r="B32" s="1" t="inlineStr">
        <is>
          <t>main_quest</t>
        </is>
      </c>
      <c r="C32" s="4" t="inlineStr">
        <is>
          <t>Adventure_3_Sport_9_quest</t>
        </is>
      </c>
      <c r="D32" s="2">
        <f>'01_Паки'!C7&amp;"_quest"</f>
        <v/>
      </c>
      <c r="E32" s="2" t="n"/>
      <c r="F32" s="3" t="n"/>
      <c r="G32" s="3" t="n"/>
      <c r="H32" s="3" t="n"/>
      <c r="I32" s="3" t="n"/>
    </row>
    <row r="33">
      <c r="A33" s="1" t="n">
        <v>6</v>
      </c>
      <c r="B33" s="1" t="inlineStr">
        <is>
          <t>quest_task_1</t>
        </is>
      </c>
      <c r="C33" s="4" t="inlineStr">
        <is>
          <t>Adventure_3_Sport_9_quest_task_1</t>
        </is>
      </c>
      <c r="D33" s="2">
        <f>'01_Паки'!C7&amp;"_quest_task_1"</f>
        <v/>
      </c>
      <c r="E33" s="2" t="n"/>
      <c r="F33" s="3" t="n"/>
      <c r="G33" s="3" t="n"/>
      <c r="H33" s="3" t="n"/>
      <c r="I33" s="3" t="n"/>
    </row>
    <row r="34">
      <c r="A34" s="1" t="n">
        <v>6</v>
      </c>
      <c r="B34" s="1" t="inlineStr">
        <is>
          <t>quest_task_2</t>
        </is>
      </c>
      <c r="C34" s="4" t="inlineStr">
        <is>
          <t>Adventure_3_Sport_9_quest_task_2</t>
        </is>
      </c>
      <c r="D34" s="2">
        <f>'01_Паки'!C7&amp;"_quest_task_2"</f>
        <v/>
      </c>
      <c r="E34" s="2" t="n"/>
      <c r="F34" s="3" t="n"/>
      <c r="G34" s="3" t="n"/>
      <c r="H34" s="3" t="n"/>
      <c r="I34" s="3" t="n"/>
    </row>
    <row r="35">
      <c r="A35" s="1" t="n">
        <v>6</v>
      </c>
      <c r="B35" s="1" t="inlineStr">
        <is>
          <t>quest_task_3</t>
        </is>
      </c>
      <c r="C35" s="4" t="inlineStr">
        <is>
          <t>Adventure_3_Sport_9_quest_task_3</t>
        </is>
      </c>
      <c r="D35" s="2">
        <f>'01_Паки'!C7&amp;"_quest_task_3"</f>
        <v/>
      </c>
      <c r="E35" s="2" t="n"/>
      <c r="F35" s="3" t="n"/>
      <c r="G35" s="3" t="n"/>
      <c r="H35" s="3" t="n"/>
      <c r="I35" s="3" t="n"/>
    </row>
    <row r="36">
      <c r="A36" s="1" t="n">
        <v>6</v>
      </c>
      <c r="B36" s="1" t="inlineStr">
        <is>
          <t>rewards_quest</t>
        </is>
      </c>
      <c r="C36" s="4" t="inlineStr">
        <is>
          <t>Adventure_3_Sport_9_rewards</t>
        </is>
      </c>
      <c r="D36" s="2">
        <f>'01_Паки'!C7&amp;"_rewards"</f>
        <v/>
      </c>
      <c r="E36" s="2">
        <f>'01_Паки'!F7</f>
        <v/>
      </c>
      <c r="F36" s="3" t="n"/>
      <c r="G36" s="3" t="inlineStr">
        <is>
          <t>Сказочный турнир</t>
        </is>
      </c>
      <c r="H36" s="3" t="n"/>
      <c r="I36" s="3" t="n"/>
    </row>
    <row r="37" ht="120" customHeight="1">
      <c r="A37" s="1" t="n">
        <v>6</v>
      </c>
      <c r="B37" s="1" t="inlineStr">
        <is>
          <t>quest_group</t>
        </is>
      </c>
      <c r="C37" s="4" t="inlineStr">
        <is>
          <t>Adventure_3_Sport_9</t>
        </is>
      </c>
      <c r="D37" s="2">
        <f>'01_Паки'!C7</f>
        <v/>
      </c>
      <c r="E37" s="2">
        <f>'01_Паки'!G7</f>
        <v/>
      </c>
      <c r="F37" s="3" t="n"/>
      <c r="G37" s="3" t="n"/>
      <c r="H37" s="3" t="inlineStr">
        <is>
          <t>Сказочные соревнования - это особое событие, в котором требуется выполнять задания за ограниченное время. Кроме выполнения, любое задание можно сбросить, тогда оно исчезнет. В обоих случаях нужно подождать 30 минут, чтобы получить новое задание. А если выполнить все 3 задания, то мгновенно появятся 3 новых! Выполняя задания, ты получаешь Сказочки, а набрав нужное количество, получишь награду и будешь двигаться к следующей. Среди наград - сказочный декор, волшебство, волшебная жаба, волшебные сказочные горшочки, а главный приз - новый уникальный крохонька! Не теряйте времени! У вас есть всего 2 дня чтобы получить все награды, удачи!</t>
        </is>
      </c>
      <c r="I37" s="3" t="n"/>
    </row>
    <row r="38">
      <c r="A38" s="1" t="n">
        <v>7</v>
      </c>
      <c r="B38" s="1" t="inlineStr">
        <is>
          <t>main_quest</t>
        </is>
      </c>
      <c r="C38" s="4" t="inlineStr">
        <is>
          <t>Adventure_3_Sport_9_quest</t>
        </is>
      </c>
      <c r="D38" s="2">
        <f>'01_Паки'!C8&amp;"_quest"</f>
        <v/>
      </c>
      <c r="E38" s="2" t="n"/>
      <c r="F38" s="3" t="n"/>
      <c r="G38" s="3" t="n"/>
      <c r="H38" s="3" t="n"/>
      <c r="I38" s="3" t="n"/>
    </row>
    <row r="39">
      <c r="A39" s="1" t="n">
        <v>7</v>
      </c>
      <c r="B39" s="1" t="inlineStr">
        <is>
          <t>quest_task_1</t>
        </is>
      </c>
      <c r="C39" s="4" t="inlineStr">
        <is>
          <t>Adventure_3_Sport_9_quest_task_1</t>
        </is>
      </c>
      <c r="D39" s="2">
        <f>'01_Паки'!C8&amp;"_quest_task_1"</f>
        <v/>
      </c>
      <c r="E39" s="2" t="n"/>
      <c r="F39" s="3" t="n"/>
      <c r="G39" s="3" t="n"/>
      <c r="H39" s="3" t="n"/>
      <c r="I39" s="3" t="n"/>
    </row>
    <row r="40">
      <c r="A40" s="1" t="n">
        <v>7</v>
      </c>
      <c r="B40" s="1" t="inlineStr">
        <is>
          <t>quest_task_2</t>
        </is>
      </c>
      <c r="C40" s="4" t="inlineStr">
        <is>
          <t>Adventure_3_Sport_9_quest_task_2</t>
        </is>
      </c>
      <c r="D40" s="2">
        <f>'01_Паки'!C8&amp;"_quest_task_2"</f>
        <v/>
      </c>
      <c r="E40" s="2" t="n"/>
      <c r="F40" s="3" t="n"/>
      <c r="G40" s="3" t="n"/>
      <c r="H40" s="3" t="n"/>
      <c r="I40" s="3" t="n"/>
    </row>
    <row r="41">
      <c r="A41" s="1" t="n">
        <v>7</v>
      </c>
      <c r="B41" s="1" t="inlineStr">
        <is>
          <t>quest_task_3</t>
        </is>
      </c>
      <c r="C41" s="4" t="inlineStr">
        <is>
          <t>Adventure_3_Sport_9_quest_task_3</t>
        </is>
      </c>
      <c r="D41" s="2">
        <f>'01_Паки'!C8&amp;"_quest_task_3"</f>
        <v/>
      </c>
      <c r="E41" s="2" t="n"/>
      <c r="F41" s="3" t="n"/>
      <c r="G41" s="3" t="n"/>
      <c r="H41" s="3" t="n"/>
      <c r="I41" s="3" t="n"/>
    </row>
    <row r="42">
      <c r="A42" s="1" t="n">
        <v>7</v>
      </c>
      <c r="B42" s="1" t="inlineStr">
        <is>
          <t>rewards_quest</t>
        </is>
      </c>
      <c r="C42" s="4" t="inlineStr">
        <is>
          <t>Adventure_3_Sport_9_rewards</t>
        </is>
      </c>
      <c r="D42" s="2">
        <f>'01_Паки'!C8&amp;"_rewards"</f>
        <v/>
      </c>
      <c r="E42" s="2">
        <f>'01_Паки'!F8</f>
        <v/>
      </c>
      <c r="F42" s="3" t="n"/>
      <c r="G42" s="3" t="inlineStr">
        <is>
          <t>Сказочный турнир</t>
        </is>
      </c>
      <c r="H42" s="3" t="n"/>
      <c r="I42" s="3" t="n"/>
    </row>
    <row r="43" ht="120" customHeight="1">
      <c r="A43" s="1" t="n">
        <v>7</v>
      </c>
      <c r="B43" s="1" t="inlineStr">
        <is>
          <t>quest_group</t>
        </is>
      </c>
      <c r="C43" s="4" t="inlineStr">
        <is>
          <t>Adventure_3_Sport_9</t>
        </is>
      </c>
      <c r="D43" s="2">
        <f>'01_Паки'!C8</f>
        <v/>
      </c>
      <c r="E43" s="2">
        <f>'01_Паки'!G8</f>
        <v/>
      </c>
      <c r="F43" s="3" t="n"/>
      <c r="G43" s="3" t="n"/>
      <c r="H43" s="3" t="inlineStr">
        <is>
          <t>Сказочные соревнования - это особое событие, в котором требуется выполнять задания за ограниченное время. Кроме выполнения, любое задание можно сбросить, тогда оно исчезнет. В обоих случаях нужно подождать 30 минут, чтобы получить новое задание. А если выполнить все 3 задания, то мгновенно появятся 3 новых! Выполняя задания, ты получаешь Сказочки, а набрав нужное количество, получишь награду и будешь двигаться к следующей. Среди наград - сказочный декор, волшебство, волшебная жаба, волшебные сказочные горшочки, а главный приз - новый уникальный крохонька! Не теряйте времени! У вас есть всего 2 дня чтобы получить все награды, удачи!</t>
        </is>
      </c>
      <c r="I43" s="3" t="n"/>
    </row>
    <row r="44">
      <c r="A44" s="1" t="n">
        <v>8</v>
      </c>
      <c r="B44" s="1" t="inlineStr">
        <is>
          <t>main_quest</t>
        </is>
      </c>
      <c r="C44" s="4" t="inlineStr">
        <is>
          <t>Adventure_3_Sport_9_quest</t>
        </is>
      </c>
      <c r="D44" s="2">
        <f>'01_Паки'!C9&amp;"_quest"</f>
        <v/>
      </c>
      <c r="E44" s="2" t="n"/>
      <c r="F44" s="3" t="n"/>
      <c r="G44" s="3" t="n"/>
      <c r="H44" s="3" t="n"/>
      <c r="I44" s="3" t="n"/>
    </row>
    <row r="45">
      <c r="A45" s="1" t="n">
        <v>8</v>
      </c>
      <c r="B45" s="1" t="inlineStr">
        <is>
          <t>quest_task_1</t>
        </is>
      </c>
      <c r="C45" s="4" t="inlineStr">
        <is>
          <t>Adventure_3_Sport_9_quest_task_1</t>
        </is>
      </c>
      <c r="D45" s="2">
        <f>'01_Паки'!C9&amp;"_quest_task_1"</f>
        <v/>
      </c>
      <c r="E45" s="2" t="n"/>
      <c r="F45" s="3" t="n"/>
      <c r="G45" s="3" t="n"/>
      <c r="H45" s="3" t="n"/>
      <c r="I45" s="3" t="n"/>
    </row>
    <row r="46">
      <c r="A46" s="1" t="n">
        <v>8</v>
      </c>
      <c r="B46" s="1" t="inlineStr">
        <is>
          <t>quest_task_2</t>
        </is>
      </c>
      <c r="C46" s="4" t="inlineStr">
        <is>
          <t>Adventure_3_Sport_9_quest_task_2</t>
        </is>
      </c>
      <c r="D46" s="2">
        <f>'01_Паки'!C9&amp;"_quest_task_2"</f>
        <v/>
      </c>
      <c r="E46" s="2" t="n"/>
      <c r="F46" s="3" t="n"/>
      <c r="G46" s="3" t="n"/>
      <c r="H46" s="3" t="n"/>
      <c r="I46" s="3" t="n"/>
    </row>
    <row r="47">
      <c r="A47" s="1" t="n">
        <v>8</v>
      </c>
      <c r="B47" s="1" t="inlineStr">
        <is>
          <t>quest_task_3</t>
        </is>
      </c>
      <c r="C47" s="4" t="inlineStr">
        <is>
          <t>Adventure_3_Sport_9_quest_task_3</t>
        </is>
      </c>
      <c r="D47" s="2">
        <f>'01_Паки'!C9&amp;"_quest_task_3"</f>
        <v/>
      </c>
      <c r="E47" s="2" t="n"/>
      <c r="F47" s="3" t="n"/>
      <c r="G47" s="3" t="n"/>
      <c r="H47" s="3" t="n"/>
      <c r="I47" s="3" t="n"/>
    </row>
    <row r="48">
      <c r="A48" s="1" t="n">
        <v>8</v>
      </c>
      <c r="B48" s="1" t="inlineStr">
        <is>
          <t>rewards_quest</t>
        </is>
      </c>
      <c r="C48" s="4" t="inlineStr">
        <is>
          <t>Adventure_3_Sport_9_rewards</t>
        </is>
      </c>
      <c r="D48" s="2">
        <f>'01_Паки'!C9&amp;"_rewards"</f>
        <v/>
      </c>
      <c r="E48" s="2">
        <f>'01_Паки'!F9</f>
        <v/>
      </c>
      <c r="F48" s="3" t="n"/>
      <c r="G48" s="3" t="inlineStr">
        <is>
          <t>Сказочный турнир</t>
        </is>
      </c>
      <c r="H48" s="3" t="n"/>
      <c r="I48" s="3" t="n"/>
    </row>
    <row r="49" ht="120" customHeight="1">
      <c r="A49" s="1" t="n">
        <v>8</v>
      </c>
      <c r="B49" s="1" t="inlineStr">
        <is>
          <t>quest_group</t>
        </is>
      </c>
      <c r="C49" s="4" t="inlineStr">
        <is>
          <t>Adventure_3_Sport_9</t>
        </is>
      </c>
      <c r="D49" s="2">
        <f>'01_Паки'!C9</f>
        <v/>
      </c>
      <c r="E49" s="2">
        <f>'01_Паки'!G9</f>
        <v/>
      </c>
      <c r="F49" s="3" t="n"/>
      <c r="G49" s="3" t="n"/>
      <c r="H49" s="3" t="inlineStr">
        <is>
          <t>Сказочные соревнования - это особое событие, в котором требуется выполнять задания за ограниченное время. Кроме выполнения, любое задание можно сбросить, тогда оно исчезнет. В обоих случаях нужно подождать 30 минут, чтобы получить новое задание. А если выполнить все 3 задания, то мгновенно появятся 3 новых! Выполняя задания, ты получаешь Сказочки, а набрав нужное количество, получишь награду и будешь двигаться к следующей. Среди наград - сказочный декор, волшебство, волшебная жаба, волшебные сказочные горшочки, а главный приз - новый уникальный крохонька! Не теряйте времени! У вас есть всего 2 дня чтобы получить все награды, удачи!</t>
        </is>
      </c>
      <c r="I49" s="3" t="n"/>
    </row>
    <row r="50">
      <c r="A50" s="1" t="n">
        <v>9</v>
      </c>
      <c r="B50" s="1" t="inlineStr">
        <is>
          <t>main_quest</t>
        </is>
      </c>
      <c r="C50" s="4" t="inlineStr">
        <is>
          <t>Adventure_3_Sport_9_quest</t>
        </is>
      </c>
      <c r="D50" s="2">
        <f>'01_Паки'!C10&amp;"_quest"</f>
        <v/>
      </c>
      <c r="E50" s="2" t="n"/>
      <c r="F50" s="3" t="n"/>
      <c r="G50" s="3" t="n"/>
      <c r="H50" s="3" t="n"/>
      <c r="I50" s="3" t="n"/>
    </row>
    <row r="51">
      <c r="A51" s="1" t="n">
        <v>9</v>
      </c>
      <c r="B51" s="1" t="inlineStr">
        <is>
          <t>quest_task_1</t>
        </is>
      </c>
      <c r="C51" s="4" t="inlineStr">
        <is>
          <t>Adventure_3_Sport_9_quest_task_1</t>
        </is>
      </c>
      <c r="D51" s="2">
        <f>'01_Паки'!C10&amp;"_quest_task_1"</f>
        <v/>
      </c>
      <c r="E51" s="2" t="n"/>
      <c r="F51" s="3" t="n"/>
      <c r="G51" s="3" t="n"/>
      <c r="H51" s="3" t="n"/>
      <c r="I51" s="3" t="n"/>
    </row>
    <row r="52">
      <c r="A52" s="1" t="n">
        <v>9</v>
      </c>
      <c r="B52" s="1" t="inlineStr">
        <is>
          <t>quest_task_2</t>
        </is>
      </c>
      <c r="C52" s="4" t="inlineStr">
        <is>
          <t>Adventure_3_Sport_9_quest_task_2</t>
        </is>
      </c>
      <c r="D52" s="2">
        <f>'01_Паки'!C10&amp;"_quest_task_2"</f>
        <v/>
      </c>
      <c r="E52" s="2" t="n"/>
      <c r="F52" s="3" t="n"/>
      <c r="G52" s="3" t="n"/>
      <c r="H52" s="3" t="n"/>
      <c r="I52" s="3" t="n"/>
    </row>
    <row r="53">
      <c r="A53" s="1" t="n">
        <v>9</v>
      </c>
      <c r="B53" s="1" t="inlineStr">
        <is>
          <t>quest_task_3</t>
        </is>
      </c>
      <c r="C53" s="4" t="inlineStr">
        <is>
          <t>Adventure_3_Sport_9_quest_task_3</t>
        </is>
      </c>
      <c r="D53" s="2">
        <f>'01_Паки'!C10&amp;"_quest_task_3"</f>
        <v/>
      </c>
      <c r="E53" s="2" t="n"/>
      <c r="F53" s="3" t="n"/>
      <c r="G53" s="3" t="n"/>
      <c r="H53" s="3" t="n"/>
      <c r="I53" s="3" t="n"/>
    </row>
    <row r="54">
      <c r="A54" s="1" t="n">
        <v>9</v>
      </c>
      <c r="B54" s="1" t="inlineStr">
        <is>
          <t>rewards_quest</t>
        </is>
      </c>
      <c r="C54" s="4" t="inlineStr">
        <is>
          <t>Adventure_3_Sport_9_rewards</t>
        </is>
      </c>
      <c r="D54" s="2">
        <f>'01_Паки'!C10&amp;"_rewards"</f>
        <v/>
      </c>
      <c r="E54" s="2">
        <f>'01_Паки'!F10</f>
        <v/>
      </c>
      <c r="F54" s="3" t="n"/>
      <c r="G54" s="3" t="inlineStr">
        <is>
          <t>Сказочный турнир</t>
        </is>
      </c>
      <c r="H54" s="3" t="n"/>
      <c r="I54" s="3" t="n"/>
    </row>
    <row r="55" ht="120" customHeight="1">
      <c r="A55" s="1" t="n">
        <v>9</v>
      </c>
      <c r="B55" s="1" t="inlineStr">
        <is>
          <t>quest_group</t>
        </is>
      </c>
      <c r="C55" s="4" t="inlineStr">
        <is>
          <t>Adventure_3_Sport_9</t>
        </is>
      </c>
      <c r="D55" s="2">
        <f>'01_Паки'!C10</f>
        <v/>
      </c>
      <c r="E55" s="2">
        <f>'01_Паки'!G10</f>
        <v/>
      </c>
      <c r="F55" s="3" t="n"/>
      <c r="G55" s="3" t="n"/>
      <c r="H55" s="3" t="inlineStr">
        <is>
          <t>Сказочные соревнования - это особое событие, в котором требуется выполнять задания за ограниченное время. Кроме выполнения, любое задание можно сбросить, тогда оно исчезнет. В обоих случаях нужно подождать 30 минут, чтобы получить новое задание. А если выполнить все 3 задания, то мгновенно появятся 3 новых! Выполняя задания, ты получаешь Сказочки, а набрав нужное количество, получишь награду и будешь двигаться к следующей. Среди наград - сказочный декор, волшебство, волшебная жаба, волшебные сказочные горшочки, а главный приз - новый уникальный крохонька! Не теряйте времени! У вас есть всего 2 дня чтобы получить все награды, удачи!</t>
        </is>
      </c>
      <c r="I55" s="3" t="n"/>
    </row>
    <row r="56">
      <c r="A56" s="1" t="n">
        <v>10</v>
      </c>
      <c r="B56" s="1" t="inlineStr">
        <is>
          <t>main_quest</t>
        </is>
      </c>
      <c r="C56" s="4" t="inlineStr">
        <is>
          <t>Adventure_3_Sport_9_quest</t>
        </is>
      </c>
      <c r="D56" s="2">
        <f>'01_Паки'!C11&amp;"_quest"</f>
        <v/>
      </c>
      <c r="E56" s="2" t="n"/>
      <c r="F56" s="3" t="n"/>
      <c r="G56" s="3" t="n"/>
      <c r="H56" s="3" t="n"/>
      <c r="I56" s="3" t="n"/>
    </row>
    <row r="57">
      <c r="A57" s="1" t="n">
        <v>10</v>
      </c>
      <c r="B57" s="1" t="inlineStr">
        <is>
          <t>quest_task_1</t>
        </is>
      </c>
      <c r="C57" s="4" t="inlineStr">
        <is>
          <t>Adventure_3_Sport_9_quest_task_1</t>
        </is>
      </c>
      <c r="D57" s="2">
        <f>'01_Паки'!C11&amp;"_quest_task_1"</f>
        <v/>
      </c>
      <c r="E57" s="2" t="n"/>
      <c r="F57" s="3" t="n"/>
      <c r="G57" s="3" t="n"/>
      <c r="H57" s="3" t="n"/>
      <c r="I57" s="3" t="n"/>
    </row>
    <row r="58">
      <c r="A58" s="1" t="n">
        <v>10</v>
      </c>
      <c r="B58" s="1" t="inlineStr">
        <is>
          <t>quest_task_2</t>
        </is>
      </c>
      <c r="C58" s="4" t="inlineStr">
        <is>
          <t>Adventure_3_Sport_9_quest_task_2</t>
        </is>
      </c>
      <c r="D58" s="2">
        <f>'01_Паки'!C11&amp;"_quest_task_2"</f>
        <v/>
      </c>
      <c r="E58" s="2" t="n"/>
      <c r="F58" s="3" t="n"/>
      <c r="G58" s="3" t="n"/>
      <c r="H58" s="3" t="n"/>
      <c r="I58" s="3" t="n"/>
    </row>
    <row r="59">
      <c r="A59" s="1" t="n">
        <v>10</v>
      </c>
      <c r="B59" s="1" t="inlineStr">
        <is>
          <t>quest_task_3</t>
        </is>
      </c>
      <c r="C59" s="4" t="inlineStr">
        <is>
          <t>Adventure_3_Sport_9_quest_task_3</t>
        </is>
      </c>
      <c r="D59" s="2">
        <f>'01_Паки'!C11&amp;"_quest_task_3"</f>
        <v/>
      </c>
      <c r="E59" s="2" t="n"/>
      <c r="F59" s="3" t="n"/>
      <c r="G59" s="3" t="n"/>
      <c r="H59" s="3" t="n"/>
      <c r="I59" s="3" t="n"/>
    </row>
    <row r="60">
      <c r="A60" s="1" t="n">
        <v>10</v>
      </c>
      <c r="B60" s="1" t="inlineStr">
        <is>
          <t>rewards_quest</t>
        </is>
      </c>
      <c r="C60" s="4" t="inlineStr">
        <is>
          <t>Adventure_3_Sport_9_rewards</t>
        </is>
      </c>
      <c r="D60" s="2">
        <f>'01_Паки'!C11&amp;"_rewards"</f>
        <v/>
      </c>
      <c r="E60" s="2">
        <f>'01_Паки'!F11</f>
        <v/>
      </c>
      <c r="F60" s="3" t="n"/>
      <c r="G60" s="3" t="inlineStr">
        <is>
          <t>Сказочный турнир</t>
        </is>
      </c>
      <c r="H60" s="3" t="n"/>
      <c r="I60" s="3" t="n"/>
    </row>
    <row r="61" ht="120" customHeight="1">
      <c r="A61" s="1" t="n">
        <v>10</v>
      </c>
      <c r="B61" s="1" t="inlineStr">
        <is>
          <t>quest_group</t>
        </is>
      </c>
      <c r="C61" s="4" t="inlineStr">
        <is>
          <t>Adventure_3_Sport_9</t>
        </is>
      </c>
      <c r="D61" s="2">
        <f>'01_Паки'!C11</f>
        <v/>
      </c>
      <c r="E61" s="2">
        <f>'01_Паки'!G11</f>
        <v/>
      </c>
      <c r="F61" s="3" t="n"/>
      <c r="G61" s="3" t="n"/>
      <c r="H61" s="3" t="inlineStr">
        <is>
          <t>Сказочные соревнования - это особое событие, в котором требуется выполнять задания за ограниченное время. Кроме выполнения, любое задание можно сбросить, тогда оно исчезнет. В обоих случаях нужно подождать 30 минут, чтобы получить новое задание. А если выполнить все 3 задания, то мгновенно появятся 3 новых! Выполняя задания, ты получаешь Сказочки, а набрав нужное количество, получишь награду и будешь двигаться к следующей. Среди наград - сказочный декор, волшебство, волшебная жаба, волшебные сказочные горшочки, а главный приз - новый уникальный крохонька! Не теряйте времени! У вас есть всего 2 дня чтобы получить все награды, удачи!</t>
        </is>
      </c>
      <c r="I61" s="3" t="n"/>
    </row>
    <row r="62">
      <c r="A62" s="1" t="n">
        <v>11</v>
      </c>
      <c r="B62" s="1" t="inlineStr">
        <is>
          <t>main_quest</t>
        </is>
      </c>
      <c r="C62" s="4" t="inlineStr">
        <is>
          <t>Adventure_3_Sport_9_quest</t>
        </is>
      </c>
      <c r="D62" s="2">
        <f>'01_Паки'!C12&amp;"_quest"</f>
        <v/>
      </c>
      <c r="E62" s="2" t="n"/>
      <c r="F62" s="3" t="n"/>
      <c r="G62" s="3" t="n"/>
      <c r="H62" s="3" t="n"/>
      <c r="I62" s="3" t="n"/>
    </row>
    <row r="63">
      <c r="A63" s="1" t="n">
        <v>11</v>
      </c>
      <c r="B63" s="1" t="inlineStr">
        <is>
          <t>quest_task_1</t>
        </is>
      </c>
      <c r="C63" s="4" t="inlineStr">
        <is>
          <t>Adventure_3_Sport_9_quest_task_1</t>
        </is>
      </c>
      <c r="D63" s="2">
        <f>'01_Паки'!C12&amp;"_quest_task_1"</f>
        <v/>
      </c>
      <c r="E63" s="2" t="n"/>
      <c r="F63" s="3" t="n"/>
      <c r="G63" s="3" t="n"/>
      <c r="H63" s="3" t="n"/>
      <c r="I63" s="3" t="n"/>
    </row>
    <row r="64">
      <c r="A64" s="1" t="n">
        <v>11</v>
      </c>
      <c r="B64" s="1" t="inlineStr">
        <is>
          <t>quest_task_2</t>
        </is>
      </c>
      <c r="C64" s="4" t="inlineStr">
        <is>
          <t>Adventure_3_Sport_9_quest_task_2</t>
        </is>
      </c>
      <c r="D64" s="2">
        <f>'01_Паки'!C12&amp;"_quest_task_2"</f>
        <v/>
      </c>
      <c r="E64" s="2" t="n"/>
      <c r="F64" s="3" t="n"/>
      <c r="G64" s="3" t="n"/>
      <c r="H64" s="3" t="n"/>
      <c r="I64" s="3" t="n"/>
    </row>
    <row r="65">
      <c r="A65" s="1" t="n">
        <v>11</v>
      </c>
      <c r="B65" s="1" t="inlineStr">
        <is>
          <t>quest_task_3</t>
        </is>
      </c>
      <c r="C65" s="4" t="inlineStr">
        <is>
          <t>Adventure_3_Sport_9_quest_task_3</t>
        </is>
      </c>
      <c r="D65" s="2">
        <f>'01_Паки'!C12&amp;"_quest_task_3"</f>
        <v/>
      </c>
      <c r="E65" s="2" t="n"/>
      <c r="F65" s="3" t="n"/>
      <c r="G65" s="3" t="n"/>
      <c r="H65" s="3" t="n"/>
      <c r="I65" s="3" t="n"/>
    </row>
    <row r="66">
      <c r="A66" s="1" t="n">
        <v>11</v>
      </c>
      <c r="B66" s="1" t="inlineStr">
        <is>
          <t>rewards_quest</t>
        </is>
      </c>
      <c r="C66" s="4" t="inlineStr">
        <is>
          <t>Adventure_3_Sport_9_rewards</t>
        </is>
      </c>
      <c r="D66" s="2">
        <f>'01_Паки'!C12&amp;"_rewards"</f>
        <v/>
      </c>
      <c r="E66" s="2">
        <f>'01_Паки'!F12</f>
        <v/>
      </c>
      <c r="F66" s="3" t="n"/>
      <c r="G66" s="3" t="inlineStr">
        <is>
          <t>Сказочный турнир</t>
        </is>
      </c>
      <c r="H66" s="3" t="n"/>
      <c r="I66" s="3" t="n"/>
    </row>
    <row r="67" ht="120" customHeight="1">
      <c r="A67" s="1" t="n">
        <v>11</v>
      </c>
      <c r="B67" s="1" t="inlineStr">
        <is>
          <t>quest_group</t>
        </is>
      </c>
      <c r="C67" s="4" t="inlineStr">
        <is>
          <t>Adventure_3_Sport_9</t>
        </is>
      </c>
      <c r="D67" s="2">
        <f>'01_Паки'!C12</f>
        <v/>
      </c>
      <c r="E67" s="2">
        <f>'01_Паки'!G12</f>
        <v/>
      </c>
      <c r="F67" s="3" t="n"/>
      <c r="G67" s="3" t="n"/>
      <c r="H67" s="3" t="inlineStr">
        <is>
          <t>Сказочные соревнования - это особое событие, в котором требуется выполнять задания за ограниченное время. Кроме выполнения, любое задание можно сбросить, тогда оно исчезнет. В обоих случаях нужно подождать 30 минут, чтобы получить новое задание. А если выполнить все 3 задания, то мгновенно появятся 3 новых! Выполняя задания, ты получаешь Сказочки, а набрав нужное количество, получишь награду и будешь двигаться к следующей. Среди наград - сказочный декор, волшебство, волшебная жаба, волшебные сказочные горшочки, а главный приз - новый уникальный крохонька! Не теряйте времени! У вас есть всего 2 дня чтобы получить все награды, удачи!</t>
        </is>
      </c>
      <c r="I67" s="3" t="n"/>
    </row>
    <row r="68">
      <c r="A68" s="1" t="n">
        <v>12</v>
      </c>
      <c r="B68" s="1" t="inlineStr">
        <is>
          <t>main_quest</t>
        </is>
      </c>
      <c r="C68" s="4" t="inlineStr">
        <is>
          <t>Adventure_3_Sport_9_quest</t>
        </is>
      </c>
      <c r="D68" s="2">
        <f>'01_Паки'!C13&amp;"_quest"</f>
        <v/>
      </c>
      <c r="E68" s="2" t="n"/>
      <c r="F68" s="3" t="n"/>
      <c r="G68" s="3" t="n"/>
      <c r="H68" s="3" t="n"/>
      <c r="I68" s="3" t="n"/>
    </row>
    <row r="69">
      <c r="A69" s="1" t="n">
        <v>12</v>
      </c>
      <c r="B69" s="1" t="inlineStr">
        <is>
          <t>quest_task_1</t>
        </is>
      </c>
      <c r="C69" s="4" t="inlineStr">
        <is>
          <t>Adventure_3_Sport_9_quest_task_1</t>
        </is>
      </c>
      <c r="D69" s="2">
        <f>'01_Паки'!C13&amp;"_quest_task_1"</f>
        <v/>
      </c>
      <c r="E69" s="2" t="n"/>
      <c r="F69" s="3" t="n"/>
      <c r="G69" s="3" t="n"/>
      <c r="H69" s="3" t="n"/>
      <c r="I69" s="3" t="n"/>
    </row>
    <row r="70">
      <c r="A70" s="1" t="n">
        <v>12</v>
      </c>
      <c r="B70" s="1" t="inlineStr">
        <is>
          <t>quest_task_2</t>
        </is>
      </c>
      <c r="C70" s="4" t="inlineStr">
        <is>
          <t>Adventure_3_Sport_9_quest_task_2</t>
        </is>
      </c>
      <c r="D70" s="2">
        <f>'01_Паки'!C13&amp;"_quest_task_2"</f>
        <v/>
      </c>
      <c r="E70" s="2" t="n"/>
      <c r="F70" s="3" t="n"/>
      <c r="G70" s="3" t="n"/>
      <c r="H70" s="3" t="n"/>
      <c r="I70" s="3" t="n"/>
    </row>
    <row r="71">
      <c r="A71" s="1" t="n">
        <v>12</v>
      </c>
      <c r="B71" s="1" t="inlineStr">
        <is>
          <t>quest_task_3</t>
        </is>
      </c>
      <c r="C71" s="4" t="inlineStr">
        <is>
          <t>Adventure_3_Sport_9_quest_task_3</t>
        </is>
      </c>
      <c r="D71" s="2">
        <f>'01_Паки'!C13&amp;"_quest_task_3"</f>
        <v/>
      </c>
      <c r="E71" s="2" t="n"/>
      <c r="F71" s="3" t="n"/>
      <c r="G71" s="3" t="n"/>
      <c r="H71" s="3" t="n"/>
      <c r="I71" s="3" t="n"/>
    </row>
    <row r="72">
      <c r="A72" s="1" t="n">
        <v>12</v>
      </c>
      <c r="B72" s="1" t="inlineStr">
        <is>
          <t>rewards_quest</t>
        </is>
      </c>
      <c r="C72" s="4" t="inlineStr">
        <is>
          <t>Adventure_3_Sport_9_rewards</t>
        </is>
      </c>
      <c r="D72" s="2">
        <f>'01_Паки'!C13&amp;"_rewards"</f>
        <v/>
      </c>
      <c r="E72" s="2">
        <f>'01_Паки'!F13</f>
        <v/>
      </c>
      <c r="F72" s="3" t="n"/>
      <c r="G72" s="3" t="inlineStr">
        <is>
          <t>Сказочный турнир</t>
        </is>
      </c>
      <c r="H72" s="3" t="n"/>
      <c r="I72" s="3" t="n"/>
    </row>
    <row r="73" ht="120" customHeight="1">
      <c r="A73" s="1" t="n">
        <v>12</v>
      </c>
      <c r="B73" s="1" t="inlineStr">
        <is>
          <t>quest_group</t>
        </is>
      </c>
      <c r="C73" s="4" t="inlineStr">
        <is>
          <t>Adventure_3_Sport_9</t>
        </is>
      </c>
      <c r="D73" s="2">
        <f>'01_Паки'!C13</f>
        <v/>
      </c>
      <c r="E73" s="2">
        <f>'01_Паки'!G13</f>
        <v/>
      </c>
      <c r="F73" s="3" t="n"/>
      <c r="G73" s="3" t="n"/>
      <c r="H73" s="3" t="inlineStr">
        <is>
          <t>Сказочные соревнования - это особое событие, в котором требуется выполнять задания за ограниченное время. Кроме выполнения, любое задание можно сбросить, тогда оно исчезнет. В обоих случаях нужно подождать 30 минут, чтобы получить новое задание. А если выполнить все 3 задания, то мгновенно появятся 3 новых! Выполняя задания, ты получаешь Сказочки, а набрав нужное количество, получишь награду и будешь двигаться к следующей. Среди наград - сказочный декор, волшебство, волшебная жаба, волшебные сказочные горшочки, а главный приз - новый уникальный крохонька! Не теряйте времени! У вас есть всего 2 дня чтобы получить все награды, удачи!</t>
        </is>
      </c>
      <c r="I73" s="3" t="n"/>
    </row>
  </sheetData>
  <autoFilter ref="A1:I73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1" topLeftCell="A35" activePane="bottomLeft" state="frozen"/>
      <selection pane="bottomLeft" activeCell="E17" sqref="E17"/>
    </sheetView>
  </sheetViews>
  <sheetFormatPr baseColWidth="8" defaultRowHeight="15"/>
  <cols>
    <col width="10" customWidth="1" min="1" max="1"/>
    <col width="12" customWidth="1" min="2" max="3"/>
    <col width="28" customWidth="1" min="4" max="4"/>
    <col width="46.7109375" customWidth="1" min="5" max="5"/>
    <col width="42" customWidth="1" min="6" max="6"/>
    <col width="78" customWidth="1" min="7" max="7"/>
    <col width="58" customWidth="1" min="8" max="8"/>
    <col width="28" customWidth="1" min="9" max="9"/>
    <col width="40" customWidth="1" min="10" max="10"/>
  </cols>
  <sheetData>
    <row r="1" ht="33.95" customHeight="1">
      <c r="A1" s="6" t="inlineStr">
        <is>
          <t>pack_no</t>
        </is>
      </c>
      <c r="B1" s="6" t="inlineStr">
        <is>
          <t>task_index</t>
        </is>
      </c>
      <c r="C1" s="6" t="inlineStr">
        <is>
          <t>amount</t>
        </is>
      </c>
      <c r="D1" s="6" t="inlineStr">
        <is>
          <t>classname</t>
        </is>
      </c>
      <c r="E1" s="6" t="inlineStr">
        <is>
          <t>reward</t>
        </is>
      </c>
      <c r="F1" s="6" t="inlineStr">
        <is>
          <t>title</t>
        </is>
      </c>
      <c r="G1" s="6" t="inlineStr">
        <is>
          <t>hint</t>
        </is>
      </c>
      <c r="H1" s="6" t="inlineStr">
        <is>
          <t>congratulation</t>
        </is>
      </c>
      <c r="I1" s="6" t="inlineStr">
        <is>
          <t>identifier</t>
        </is>
      </c>
      <c r="J1" s="6" t="inlineStr">
        <is>
          <t>notes</t>
        </is>
      </c>
    </row>
    <row r="2" ht="30" customHeight="1">
      <c r="A2" s="1" t="n">
        <v>1</v>
      </c>
      <c r="B2" s="1" t="n">
        <v>0</v>
      </c>
      <c r="C2" s="2" t="n">
        <v>500</v>
      </c>
      <c r="D2" s="2" t="inlineStr">
        <is>
          <t>Adventure_GR_4</t>
        </is>
      </c>
      <c r="E2" s="2" t="inlineStr">
        <is>
          <t>asset=Adventure_4_1_Reward_1:1</t>
        </is>
      </c>
      <c r="F2" s="2" t="inlineStr">
        <is>
          <t>Целуй</t>
        </is>
      </c>
      <c r="G2" s="2" t="inlineStr">
        <is>
          <t>Царевна требует внимания!</t>
        </is>
      </c>
      <c r="H2" s="2" t="inlineStr">
        <is>
          <t>Целуй</t>
        </is>
      </c>
      <c r="I2" s="3" t="n"/>
      <c r="J2" s="3" t="inlineStr">
        <is>
          <t>autofilled from 03_Objects by Codex</t>
        </is>
      </c>
    </row>
    <row r="3" ht="30" customHeight="1">
      <c r="A3" s="1" t="n">
        <v>1</v>
      </c>
      <c r="B3" s="1" t="n">
        <v>1</v>
      </c>
      <c r="C3" s="2" t="n">
        <v>1100</v>
      </c>
      <c r="D3" s="2" t="inlineStr">
        <is>
          <t>Adventure_GR_4</t>
        </is>
      </c>
      <c r="E3" s="2" t="inlineStr">
        <is>
          <t>asset=DomovoySpeedModifier_12h:1</t>
        </is>
      </c>
      <c r="F3" s="2" t="inlineStr">
        <is>
          <t>Чары "Шустрик"</t>
        </is>
      </c>
      <c r="G3" s="2" t="inlineStr">
        <is>
          <t>Увеличивает скорость передвижения домовёнка. Рекомендуется применять, если дел много, а времени мало. Действует 12 часов.</t>
        </is>
      </c>
      <c r="H3" s="2" t="inlineStr">
        <is>
          <t>Чары "Шустрик"</t>
        </is>
      </c>
      <c r="I3" s="3" t="n"/>
      <c r="J3" s="3" t="inlineStr">
        <is>
          <t>autofilled from 03_Objects by Codex</t>
        </is>
      </c>
    </row>
    <row r="4" ht="30" customHeight="1">
      <c r="A4" s="1" t="n">
        <v>1</v>
      </c>
      <c r="B4" s="1" t="n">
        <v>2</v>
      </c>
      <c r="C4" s="2" t="n">
        <v>1800</v>
      </c>
      <c r="D4" s="2" t="inlineStr">
        <is>
          <t>Adventure_GR_4</t>
        </is>
      </c>
      <c r="E4" s="2" t="inlineStr">
        <is>
          <t>asset=Adventure_4_Box_1:1</t>
        </is>
      </c>
      <c r="F4" s="2" t="inlineStr">
        <is>
          <t>Коробка с подарками</t>
        </is>
      </c>
      <c r="G4" s="2" t="inlineStr">
        <is>
          <t>Содержит 20 Фоминок и волшебную синюю жабу, дающую грошики раз в день.</t>
        </is>
      </c>
      <c r="H4" s="2" t="inlineStr">
        <is>
          <t>Коробка с подарками</t>
        </is>
      </c>
      <c r="I4" s="3" t="n"/>
      <c r="J4" s="3" t="inlineStr">
        <is>
          <t>autofilled from 03_Objects by Codex</t>
        </is>
      </c>
    </row>
    <row r="5" ht="30" customHeight="1">
      <c r="A5" s="1" t="n">
        <v>1</v>
      </c>
      <c r="B5" s="1" t="n">
        <v>3</v>
      </c>
      <c r="C5" s="2" t="n">
        <v>2500</v>
      </c>
      <c r="D5" s="2" t="inlineStr">
        <is>
          <t>Adventure_GR_4</t>
        </is>
      </c>
      <c r="E5" s="2" t="inlineStr">
        <is>
          <t>asset=Adventure_4_1_Pot_Multi_1:1</t>
        </is>
      </c>
      <c r="F5" s="2" t="inlineStr">
        <is>
          <t>Мечта хозяюшки "Царевна лягушка"</t>
        </is>
      </c>
      <c r="G5" s="2" t="inlineStr">
        <is>
          <t>Горшочек сочный любимый. Выращивай в нём по 5 цветов за раз!</t>
        </is>
      </c>
      <c r="H5" s="2" t="inlineStr">
        <is>
          <t>Мечта хозяюшки "Царевна лягушка"</t>
        </is>
      </c>
      <c r="I5" s="3" t="n"/>
      <c r="J5" s="3" t="inlineStr">
        <is>
          <t>autofilled from 03_Objects by Codex</t>
        </is>
      </c>
    </row>
    <row r="6" ht="30" customHeight="1">
      <c r="A6" s="1" t="n">
        <v>1</v>
      </c>
      <c r="B6" s="1" t="n">
        <v>4</v>
      </c>
      <c r="C6" s="2" t="n">
        <v>3300</v>
      </c>
      <c r="D6" s="2" t="inlineStr">
        <is>
          <t>Adventure_GR_4</t>
        </is>
      </c>
      <c r="E6" s="2" t="inlineStr">
        <is>
          <t>asset=Adventure_4_Box_2:1</t>
        </is>
      </c>
      <c r="F6" s="2" t="inlineStr">
        <is>
          <t>Коробка с подарками</t>
        </is>
      </c>
      <c r="G6" s="2" t="inlineStr">
        <is>
          <t>Содержит: 30 Фоминок, 2 бустера для мгновенной уборки мусора со всех горшков, 15 оживителей, 15 ускорителей, 20 жетонов</t>
        </is>
      </c>
      <c r="H6" s="2" t="inlineStr">
        <is>
          <t>Коробка с подарками</t>
        </is>
      </c>
      <c r="I6" s="3" t="n"/>
      <c r="J6" s="3" t="inlineStr">
        <is>
          <t>autofilled from 03_Objects by Codex</t>
        </is>
      </c>
    </row>
    <row r="7" ht="30" customHeight="1">
      <c r="A7" s="1" t="n">
        <v>1</v>
      </c>
      <c r="B7" s="1" t="n">
        <v>5</v>
      </c>
      <c r="C7" s="2" t="n">
        <v>4100</v>
      </c>
      <c r="D7" s="2" t="inlineStr">
        <is>
          <t>Adventure_GR_4</t>
        </is>
      </c>
      <c r="E7" s="2" t="inlineStr">
        <is>
          <t>asset=Adventure_4_1_Pot_Multi_Magic:1</t>
        </is>
      </c>
      <c r="F7" s="2" t="inlineStr">
        <is>
          <t>Волшебная мечта хозяюшки "Болотное царство"</t>
        </is>
      </c>
      <c r="G7" s="2" t="inlineStr">
        <is>
          <t>В этом горшочке вся красота болотного царства, выращивай сразу 5 волшебных цветочков!</t>
        </is>
      </c>
      <c r="H7" s="2" t="inlineStr">
        <is>
          <t>Волшебная мечта хозяюшки "Болотное царство"</t>
        </is>
      </c>
      <c r="I7" s="3" t="n"/>
      <c r="J7" s="3" t="inlineStr">
        <is>
          <t>autofilled from 03_Objects by Codex</t>
        </is>
      </c>
    </row>
    <row r="8" ht="45" customHeight="1">
      <c r="A8" s="1" t="n">
        <v>1</v>
      </c>
      <c r="B8" s="1" t="n">
        <v>6</v>
      </c>
      <c r="C8" s="2" t="n">
        <v>5000</v>
      </c>
      <c r="D8" s="2" t="inlineStr">
        <is>
          <t>Adventure_GR_4</t>
        </is>
      </c>
      <c r="E8" s="2" t="inlineStr">
        <is>
          <t>asset=Adventure_4_Box_3:1+asset=Pet17_Adventure_4_1:1</t>
        </is>
      </c>
      <c r="F8" s="2" t="inlineStr">
        <is>
          <t>Коробка с подарками</t>
        </is>
      </c>
      <c r="G8" s="2" t="inlineStr">
        <is>
          <t>Коробка содержит: 50 Фоминок, 4 бустера для мгновенной уборки мусора со всех горшков, 20 оживителей, 20 ускорителей, 30 жетонов.\nСупер-приз кроха "Лягушка" за достижение последней отметки</t>
        </is>
      </c>
      <c r="H8" s="2" t="inlineStr">
        <is>
          <t>Коробка с подарками + Кроха Лягушка</t>
        </is>
      </c>
      <c r="I8" s="3" t="n"/>
      <c r="J8" s="3" t="inlineStr">
        <is>
          <t>autofilled from 03_Objects by Codex</t>
        </is>
      </c>
    </row>
    <row r="9">
      <c r="A9" s="1" t="n">
        <v>2</v>
      </c>
      <c r="B9" s="1" t="n">
        <v>0</v>
      </c>
      <c r="C9" s="2" t="n">
        <v>500</v>
      </c>
      <c r="D9" s="2" t="inlineStr">
        <is>
          <t>Adventure_GR_4</t>
        </is>
      </c>
      <c r="E9" s="2" t="inlineStr">
        <is>
          <t>asset=Adventure_4_2_Reward_1:1</t>
        </is>
      </c>
      <c r="F9" s="2" t="inlineStr">
        <is>
          <t>Декор "Тянем-потянем"</t>
        </is>
      </c>
      <c r="G9" s="2" t="inlineStr">
        <is>
          <t>Командная работа!</t>
        </is>
      </c>
      <c r="H9" s="2" t="inlineStr">
        <is>
          <t>Декор "Тянем-потянем"</t>
        </is>
      </c>
      <c r="I9" s="3" t="n"/>
      <c r="J9" s="3" t="inlineStr">
        <is>
          <t>autofilled from 03_Objects by Codex</t>
        </is>
      </c>
    </row>
    <row r="10" ht="30" customHeight="1">
      <c r="A10" s="1" t="n">
        <v>2</v>
      </c>
      <c r="B10" s="1" t="n">
        <v>1</v>
      </c>
      <c r="C10" s="2" t="n">
        <v>1100</v>
      </c>
      <c r="D10" s="2" t="inlineStr">
        <is>
          <t>Adventure_GR_4</t>
        </is>
      </c>
      <c r="E10" s="2" t="inlineStr">
        <is>
          <t>asset=DomovoySpeedModifier_12h:1</t>
        </is>
      </c>
      <c r="F10" s="2" t="inlineStr">
        <is>
          <t>Чары "Шустрик"</t>
        </is>
      </c>
      <c r="G10" s="2" t="inlineStr">
        <is>
          <t>Увеличивает скорость передвижения домовёнка. Рекомендуется применять, если дел много, а времени мало. Действует 12 часов.</t>
        </is>
      </c>
      <c r="H10" s="2" t="inlineStr">
        <is>
          <t>Чары "Шустрик"</t>
        </is>
      </c>
      <c r="I10" s="3" t="n"/>
      <c r="J10" s="3" t="inlineStr">
        <is>
          <t>autofilled from 03_Objects by Codex</t>
        </is>
      </c>
    </row>
    <row r="11">
      <c r="A11" s="1" t="n">
        <v>2</v>
      </c>
      <c r="B11" s="1" t="n">
        <v>2</v>
      </c>
      <c r="C11" s="2" t="n">
        <v>1800</v>
      </c>
      <c r="D11" s="2" t="inlineStr">
        <is>
          <t>Adventure_GR_4</t>
        </is>
      </c>
      <c r="E11" s="2" t="inlineStr">
        <is>
          <t>asset=Adventure_4_Box_1:1</t>
        </is>
      </c>
      <c r="F11" s="2" t="inlineStr">
        <is>
          <t>Коробка с подарками</t>
        </is>
      </c>
      <c r="G11" s="2" t="inlineStr">
        <is>
          <t>Содержит 20 Фоминок и волшебную синюю жабу, дающую грошики раз в день.</t>
        </is>
      </c>
      <c r="H11" s="2" t="inlineStr">
        <is>
          <t>Коробка с подарками</t>
        </is>
      </c>
      <c r="I11" s="3" t="n"/>
      <c r="J11" s="3" t="inlineStr">
        <is>
          <t>autofilled from 03_Objects by Codex</t>
        </is>
      </c>
    </row>
    <row r="12" ht="30" customHeight="1">
      <c r="A12" s="1" t="n">
        <v>2</v>
      </c>
      <c r="B12" s="1" t="n">
        <v>3</v>
      </c>
      <c r="C12" s="2" t="n">
        <v>2500</v>
      </c>
      <c r="D12" s="2" t="inlineStr">
        <is>
          <t>Adventure_GR_4</t>
        </is>
      </c>
      <c r="E12" s="2" t="inlineStr">
        <is>
          <t>asset=Adventure_4_2_Pot_Multi_1:1</t>
        </is>
      </c>
      <c r="F12" s="2" t="inlineStr">
        <is>
          <t>Мечта хозяюшки "Репка"</t>
        </is>
      </c>
      <c r="G12" s="2" t="inlineStr">
        <is>
          <t>Горшочек сочный любимый. Выращивай в нём по 5 цветов за раз!</t>
        </is>
      </c>
      <c r="H12" s="2" t="inlineStr">
        <is>
          <t>Мечта хозяюшки "Репка"</t>
        </is>
      </c>
      <c r="I12" s="3" t="n"/>
      <c r="J12" s="3" t="inlineStr">
        <is>
          <t>autofilled from 03_Objects by Codex</t>
        </is>
      </c>
    </row>
    <row r="13" ht="30" customHeight="1">
      <c r="A13" s="1" t="n">
        <v>2</v>
      </c>
      <c r="B13" s="1" t="n">
        <v>4</v>
      </c>
      <c r="C13" s="2" t="n">
        <v>3300</v>
      </c>
      <c r="D13" s="2" t="inlineStr">
        <is>
          <t>Adventure_GR_4</t>
        </is>
      </c>
      <c r="E13" s="2" t="inlineStr">
        <is>
          <t>asset=Adventure_4_Box_2:1</t>
        </is>
      </c>
      <c r="F13" s="2" t="inlineStr">
        <is>
          <t>Коробка с подарками</t>
        </is>
      </c>
      <c r="G13" s="2" t="inlineStr">
        <is>
          <t>Содержит: 30 Фоминок, 2 бустера для мгновенной уборки мусора со всех горшков, 15 оживителей, 15 ускорителей, 20 жетонов</t>
        </is>
      </c>
      <c r="H13" s="2" t="inlineStr">
        <is>
          <t>Коробка с подарками</t>
        </is>
      </c>
      <c r="I13" s="3" t="n"/>
      <c r="J13" s="3" t="inlineStr">
        <is>
          <t>autofilled from 03_Objects by Codex</t>
        </is>
      </c>
    </row>
    <row r="14">
      <c r="A14" s="1" t="n">
        <v>2</v>
      </c>
      <c r="B14" s="1" t="n">
        <v>5</v>
      </c>
      <c r="C14" s="2" t="n">
        <v>4100</v>
      </c>
      <c r="D14" s="2" t="inlineStr">
        <is>
          <t>Adventure_GR_4</t>
        </is>
      </c>
      <c r="E14" s="2" t="inlineStr">
        <is>
          <t>asset=Adventure_4_2_Pot_Multi_Magic:1</t>
        </is>
      </c>
      <c r="F14" s="2" t="inlineStr">
        <is>
          <t>Волшебная мечта хозяюшки "Репка"</t>
        </is>
      </c>
      <c r="G14" s="2" t="inlineStr">
        <is>
          <t>Тянули, тянули и вытащили репку! Выращивай сразу 5 волшебных цветочков!</t>
        </is>
      </c>
      <c r="H14" s="2" t="inlineStr">
        <is>
          <t>Волшебная мечта хозяюшки "Репка"</t>
        </is>
      </c>
      <c r="I14" s="3" t="n"/>
      <c r="J14" s="3" t="inlineStr">
        <is>
          <t>autofilled from 03_Objects by Codex</t>
        </is>
      </c>
    </row>
    <row r="15" ht="45" customHeight="1">
      <c r="A15" s="1" t="n">
        <v>2</v>
      </c>
      <c r="B15" s="1" t="n">
        <v>6</v>
      </c>
      <c r="C15" s="2" t="n">
        <v>5000</v>
      </c>
      <c r="D15" s="2" t="inlineStr">
        <is>
          <t>Adventure_GR_4</t>
        </is>
      </c>
      <c r="E15" s="2" t="inlineStr">
        <is>
          <t>asset=Adventure_4_Box_3:1+asset=Pet17_Adventure_4_2:1</t>
        </is>
      </c>
      <c r="F15" s="2" t="inlineStr">
        <is>
          <t>Коробка с подарками</t>
        </is>
      </c>
      <c r="G15" s="2" t="inlineStr">
        <is>
          <t>Коробка содержит: 50 Фоминок, 4 бустера для мгновенной уборки мусора со всех горшков, 20 оживителей, 20 ускорителей, 30 жетонов.\nСупер-приз кроха "Мышка" за достижение последней отметки</t>
        </is>
      </c>
      <c r="H15" s="2" t="inlineStr">
        <is>
          <t>Коробка с подарками + Кроха Мышка</t>
        </is>
      </c>
      <c r="I15" s="3" t="n"/>
      <c r="J15" s="3" t="inlineStr">
        <is>
          <t>autofilled from 03_Objects by Codex</t>
        </is>
      </c>
    </row>
    <row r="16">
      <c r="A16" s="1" t="n">
        <v>3</v>
      </c>
      <c r="B16" s="1" t="n">
        <v>0</v>
      </c>
      <c r="C16" s="2" t="n">
        <v>500</v>
      </c>
      <c r="D16" s="2" t="inlineStr">
        <is>
          <t>Adventure_GR_4</t>
        </is>
      </c>
      <c r="E16" s="2" t="inlineStr">
        <is>
          <t>asset=Adventure_4_3_Reward_1:1</t>
        </is>
      </c>
      <c r="F16" s="2" t="inlineStr">
        <is>
          <t>Декор "Курочка-Ряба"</t>
        </is>
      </c>
      <c r="G16" s="2" t="inlineStr">
        <is>
          <t>Бизнес пойдёт в гору!</t>
        </is>
      </c>
      <c r="H16" s="2" t="inlineStr">
        <is>
          <t>Декор "Курочка-Ряба"</t>
        </is>
      </c>
      <c r="I16" s="3" t="n"/>
      <c r="J16" s="3" t="inlineStr">
        <is>
          <t>autofilled from 03_Objects by Codex</t>
        </is>
      </c>
    </row>
    <row r="17" ht="30" customHeight="1">
      <c r="A17" s="1" t="n">
        <v>3</v>
      </c>
      <c r="B17" s="1" t="n">
        <v>1</v>
      </c>
      <c r="C17" s="2" t="n">
        <v>1100</v>
      </c>
      <c r="D17" s="2" t="inlineStr">
        <is>
          <t>Adventure_GR_4</t>
        </is>
      </c>
      <c r="E17" s="2" t="inlineStr">
        <is>
          <t>asset=DomovoySpeedModifier_12h:1</t>
        </is>
      </c>
      <c r="F17" s="2" t="inlineStr">
        <is>
          <t>Чары "Шустрик"</t>
        </is>
      </c>
      <c r="G17" s="2" t="inlineStr">
        <is>
          <t>Увеличивает скорость передвижения домовёнка. Рекомендуется применять, если дел много, а времени мало. Действует 12 часов.</t>
        </is>
      </c>
      <c r="H17" s="2" t="inlineStr">
        <is>
          <t>Чары "Шустрик"</t>
        </is>
      </c>
      <c r="I17" s="3" t="n"/>
      <c r="J17" s="3" t="inlineStr">
        <is>
          <t>autofilled from 03_Objects by Codex</t>
        </is>
      </c>
    </row>
    <row r="18">
      <c r="A18" s="1" t="n">
        <v>3</v>
      </c>
      <c r="B18" s="1" t="n">
        <v>2</v>
      </c>
      <c r="C18" s="2" t="n">
        <v>1800</v>
      </c>
      <c r="D18" s="2" t="inlineStr">
        <is>
          <t>Adventure_GR_4</t>
        </is>
      </c>
      <c r="E18" s="2" t="inlineStr">
        <is>
          <t>asset=Adventure_4_Box_1:1</t>
        </is>
      </c>
      <c r="F18" s="2" t="inlineStr">
        <is>
          <t>Коробка с подарками</t>
        </is>
      </c>
      <c r="G18" s="2" t="inlineStr">
        <is>
          <t>Содержит 20 Фоминок и волшебную синюю жабу, дающую грошики раз в день.</t>
        </is>
      </c>
      <c r="H18" s="2" t="inlineStr">
        <is>
          <t>Коробка с подарками</t>
        </is>
      </c>
      <c r="I18" s="3" t="n"/>
      <c r="J18" s="3" t="inlineStr">
        <is>
          <t>autofilled from 03_Objects by Codex</t>
        </is>
      </c>
    </row>
    <row r="19">
      <c r="A19" s="1" t="n">
        <v>3</v>
      </c>
      <c r="B19" s="1" t="n">
        <v>3</v>
      </c>
      <c r="C19" s="2" t="n">
        <v>2500</v>
      </c>
      <c r="D19" s="2" t="inlineStr">
        <is>
          <t>Adventure_GR_4</t>
        </is>
      </c>
      <c r="E19" s="2" t="inlineStr">
        <is>
          <t>asset=Adventure_4_3_Pot_Multi_1:1</t>
        </is>
      </c>
      <c r="F19" s="2" t="inlineStr">
        <is>
          <t>Мечта хозяюшки "Курочка-Ряба"</t>
        </is>
      </c>
      <c r="G19" s="2" t="inlineStr">
        <is>
          <t>Горшочек сочный любимый. Выращивай в нём по 5 цветов за раз!</t>
        </is>
      </c>
      <c r="H19" s="2" t="inlineStr">
        <is>
          <t>Мечта хозяюшки "Курочка-Ряба"</t>
        </is>
      </c>
      <c r="I19" s="3" t="n"/>
      <c r="J19" s="3" t="inlineStr">
        <is>
          <t>autofilled from 03_Objects by Codex</t>
        </is>
      </c>
    </row>
    <row r="20" ht="30" customHeight="1">
      <c r="A20" s="1" t="n">
        <v>3</v>
      </c>
      <c r="B20" s="1" t="n">
        <v>4</v>
      </c>
      <c r="C20" s="2" t="n">
        <v>3300</v>
      </c>
      <c r="D20" s="2" t="inlineStr">
        <is>
          <t>Adventure_GR_4</t>
        </is>
      </c>
      <c r="E20" s="2" t="inlineStr">
        <is>
          <t>asset=Adventure_4_Box_2:1</t>
        </is>
      </c>
      <c r="F20" s="2" t="inlineStr">
        <is>
          <t>Коробка с подарками</t>
        </is>
      </c>
      <c r="G20" s="2" t="inlineStr">
        <is>
          <t>Содержит: 30 Фоминок, 2 бустера для мгновенной уборки мусора со всех горшков, 15 оживителей, 15 ускорителей, 20 жетонов</t>
        </is>
      </c>
      <c r="H20" s="2" t="inlineStr">
        <is>
          <t>Коробка с подарками</t>
        </is>
      </c>
      <c r="I20" s="3" t="n"/>
      <c r="J20" s="3" t="inlineStr">
        <is>
          <t>autofilled from 03_Objects by Codex</t>
        </is>
      </c>
    </row>
    <row r="21" ht="30" customHeight="1">
      <c r="A21" s="1" t="n">
        <v>3</v>
      </c>
      <c r="B21" s="1" t="n">
        <v>5</v>
      </c>
      <c r="C21" s="2" t="n">
        <v>4100</v>
      </c>
      <c r="D21" s="2" t="inlineStr">
        <is>
          <t>Adventure_GR_4</t>
        </is>
      </c>
      <c r="E21" s="2" t="inlineStr">
        <is>
          <t>asset=Adventure_4_3_Pot_Multi_Magic:1</t>
        </is>
      </c>
      <c r="F21" s="2" t="inlineStr">
        <is>
          <t>Волшебная мечта хозяюшки "Золотое яйцо"</t>
        </is>
      </c>
      <c r="G21" s="2" t="inlineStr">
        <is>
          <t>Новый горшочек проклюнулся, скорее сажай в него цветы! Выращивай сразу 5 волшебных цветочков!</t>
        </is>
      </c>
      <c r="H21" s="2" t="inlineStr">
        <is>
          <t>Волшебная мечта хозяюшки "Золотое яйцо"</t>
        </is>
      </c>
      <c r="I21" s="3" t="n"/>
      <c r="J21" s="3" t="inlineStr">
        <is>
          <t>autofilled from 03_Objects by Codex</t>
        </is>
      </c>
    </row>
    <row r="22" ht="45" customHeight="1">
      <c r="A22" s="1" t="n">
        <v>3</v>
      </c>
      <c r="B22" s="1" t="n">
        <v>6</v>
      </c>
      <c r="C22" s="2" t="n">
        <v>5000</v>
      </c>
      <c r="D22" s="2" t="inlineStr">
        <is>
          <t>Adventure_GR_4</t>
        </is>
      </c>
      <c r="E22" s="2" t="inlineStr">
        <is>
          <t>asset=Adventure_4_Box_3:1+asset=Pet17_Adventure_4_3:1</t>
        </is>
      </c>
      <c r="F22" s="2" t="inlineStr">
        <is>
          <t>Коробка с подарками</t>
        </is>
      </c>
      <c r="G22" s="2" t="inlineStr">
        <is>
          <t>Коробка содержит: 50 Фоминок, 4 бустера для мгновенной уборки мусора со всех горшков, 20 оживителей, 20 ускорителей, 30 жетонов.\nСупер-приз кроха "Цыпленок" за достижение последней отметки</t>
        </is>
      </c>
      <c r="H22" s="2" t="inlineStr">
        <is>
          <t>Коробка с подарками + Кроха Цыпленок</t>
        </is>
      </c>
      <c r="I22" s="3" t="n"/>
      <c r="J22" s="3" t="inlineStr">
        <is>
          <t>autofilled from 03_Objects by Codex</t>
        </is>
      </c>
    </row>
    <row r="23">
      <c r="A23" s="1" t="n">
        <v>4</v>
      </c>
      <c r="B23" s="1" t="n">
        <v>0</v>
      </c>
      <c r="C23" s="2" t="n">
        <v>500</v>
      </c>
      <c r="D23" s="2" t="inlineStr">
        <is>
          <t>Adventure_GR_4</t>
        </is>
      </c>
      <c r="E23" s="2" t="inlineStr">
        <is>
          <t>asset=Adventure_4_4_Reward_1:1</t>
        </is>
      </c>
      <c r="F23" s="2" t="inlineStr">
        <is>
          <t>Декор "Очень много желаний"</t>
        </is>
      </c>
      <c r="G23" s="2" t="inlineStr">
        <is>
          <t>Наглость - второе счастье!</t>
        </is>
      </c>
      <c r="H23" s="2" t="inlineStr">
        <is>
          <t>Декор "Очень много желаний"</t>
        </is>
      </c>
      <c r="I23" s="3" t="n"/>
      <c r="J23" s="3" t="inlineStr">
        <is>
          <t>autofilled from 03_Objects by Codex</t>
        </is>
      </c>
    </row>
    <row r="24" ht="30" customHeight="1">
      <c r="A24" s="1" t="n">
        <v>4</v>
      </c>
      <c r="B24" s="1" t="n">
        <v>1</v>
      </c>
      <c r="C24" s="2" t="n">
        <v>1100</v>
      </c>
      <c r="D24" s="2" t="inlineStr">
        <is>
          <t>Adventure_GR_4</t>
        </is>
      </c>
      <c r="E24" s="2" t="inlineStr">
        <is>
          <t>asset=DomovoySpeedModifier_12h:1</t>
        </is>
      </c>
      <c r="F24" s="2" t="inlineStr">
        <is>
          <t>Чары "Шустрик"</t>
        </is>
      </c>
      <c r="G24" s="2" t="inlineStr">
        <is>
          <t>Увеличивает скорость передвижения домовёнка. Рекомендуется применять, если дел много, а времени мало. Действует 12 часов.</t>
        </is>
      </c>
      <c r="H24" s="2" t="inlineStr">
        <is>
          <t>Чары "Шустрик"</t>
        </is>
      </c>
      <c r="I24" s="3" t="n"/>
      <c r="J24" s="3" t="inlineStr">
        <is>
          <t>autofilled from 03_Objects by Codex</t>
        </is>
      </c>
    </row>
    <row r="25">
      <c r="A25" s="1" t="n">
        <v>4</v>
      </c>
      <c r="B25" s="1" t="n">
        <v>2</v>
      </c>
      <c r="C25" s="2" t="n">
        <v>1800</v>
      </c>
      <c r="D25" s="2" t="inlineStr">
        <is>
          <t>Adventure_GR_4</t>
        </is>
      </c>
      <c r="E25" s="2" t="inlineStr">
        <is>
          <t>asset=Adventure_4_Box_1:1</t>
        </is>
      </c>
      <c r="F25" s="2" t="inlineStr">
        <is>
          <t>Коробка с подарками</t>
        </is>
      </c>
      <c r="G25" s="2" t="inlineStr">
        <is>
          <t>Содержит 20 Фоминок и волшебную синюю жабу, дающую грошики раз в день.</t>
        </is>
      </c>
      <c r="H25" s="2" t="inlineStr">
        <is>
          <t>Коробка с подарками</t>
        </is>
      </c>
      <c r="I25" s="3" t="n"/>
      <c r="J25" s="3" t="inlineStr">
        <is>
          <t>autofilled from 03_Objects by Codex</t>
        </is>
      </c>
    </row>
    <row r="26">
      <c r="A26" s="1" t="n">
        <v>4</v>
      </c>
      <c r="B26" s="1" t="n">
        <v>3</v>
      </c>
      <c r="C26" s="2" t="n">
        <v>2500</v>
      </c>
      <c r="D26" s="2" t="inlineStr">
        <is>
          <t>Adventure_GR_4</t>
        </is>
      </c>
      <c r="E26" s="2" t="inlineStr">
        <is>
          <t>asset=Adventure_4_4_Pot_Multi_1:1</t>
        </is>
      </c>
      <c r="F26" s="2" t="inlineStr">
        <is>
          <t>Мечта хозяюшки "Золотая рыбка"</t>
        </is>
      </c>
      <c r="G26" s="2" t="inlineStr">
        <is>
          <t>Горшочек сочный любимый. Выращивай в нём по 5 цветов за раз!</t>
        </is>
      </c>
      <c r="H26" s="2" t="inlineStr">
        <is>
          <t>Мечта хозяюшки "Золотая рыбка"</t>
        </is>
      </c>
      <c r="I26" s="3" t="n"/>
      <c r="J26" s="3" t="inlineStr">
        <is>
          <t>autofilled from 03_Objects by Codex</t>
        </is>
      </c>
    </row>
    <row r="27" ht="30" customHeight="1">
      <c r="A27" s="1" t="n">
        <v>4</v>
      </c>
      <c r="B27" s="1" t="n">
        <v>4</v>
      </c>
      <c r="C27" s="2" t="n">
        <v>3300</v>
      </c>
      <c r="D27" s="2" t="inlineStr">
        <is>
          <t>Adventure_GR_4</t>
        </is>
      </c>
      <c r="E27" s="2" t="inlineStr">
        <is>
          <t>asset=Adventure_4_Box_2:1</t>
        </is>
      </c>
      <c r="F27" s="2" t="inlineStr">
        <is>
          <t>Коробка с подарками</t>
        </is>
      </c>
      <c r="G27" s="2" t="inlineStr">
        <is>
          <t>Содержит: 30 Фоминок, 2 бустера для мгновенной уборки мусора со всех горшков, 15 оживителей, 15 ускорителей, 20 жетонов</t>
        </is>
      </c>
      <c r="H27" s="2" t="inlineStr">
        <is>
          <t>Коробка с подарками</t>
        </is>
      </c>
      <c r="I27" s="3" t="n"/>
      <c r="J27" s="3" t="inlineStr">
        <is>
          <t>autofilled from 03_Objects by Codex</t>
        </is>
      </c>
    </row>
    <row r="28" ht="30" customHeight="1">
      <c r="A28" s="1" t="n">
        <v>4</v>
      </c>
      <c r="B28" s="1" t="n">
        <v>5</v>
      </c>
      <c r="C28" s="2" t="n">
        <v>4100</v>
      </c>
      <c r="D28" s="2" t="inlineStr">
        <is>
          <t>Adventure_GR_4</t>
        </is>
      </c>
      <c r="E28" s="2" t="inlineStr">
        <is>
          <t>asset=Adventure_4_4_Pot_Multi_Magic:1</t>
        </is>
      </c>
      <c r="F28" s="2" t="inlineStr">
        <is>
          <t>Волшебная мечта хозяюшки "Морская звезда"</t>
        </is>
      </c>
      <c r="G28" s="2" t="inlineStr">
        <is>
          <t>Со дна морского, а теперь у тебя! Выращивай сразу 5 волшебных цветочков!</t>
        </is>
      </c>
      <c r="H28" s="2" t="inlineStr">
        <is>
          <t>Волшебная мечта хозяюшки "Морская звезда"</t>
        </is>
      </c>
      <c r="I28" s="3" t="n"/>
      <c r="J28" s="3" t="inlineStr">
        <is>
          <t>autofilled from 03_Objects by Codex</t>
        </is>
      </c>
    </row>
    <row r="29" ht="45" customHeight="1">
      <c r="A29" s="1" t="n">
        <v>4</v>
      </c>
      <c r="B29" s="1" t="n">
        <v>6</v>
      </c>
      <c r="C29" s="2" t="n">
        <v>5000</v>
      </c>
      <c r="D29" s="2" t="inlineStr">
        <is>
          <t>Adventure_GR_4</t>
        </is>
      </c>
      <c r="E29" s="2" t="inlineStr">
        <is>
          <t>asset=Adventure_4_Box_3:1+asset=Pet17_Adventure_4_4:1</t>
        </is>
      </c>
      <c r="F29" s="2" t="inlineStr">
        <is>
          <t>Коробка с подарками</t>
        </is>
      </c>
      <c r="G29" s="2" t="inlineStr">
        <is>
          <t>Коробка содержит: 50 Фоминок, 4 бустера для мгновенной уборки мусора со всех горшков, 20 оживителей, 20 ускорителей, 30 жетонов.\nСупер-приз кроха "Рыбка" за достижение последней отметки</t>
        </is>
      </c>
      <c r="H29" s="2" t="inlineStr">
        <is>
          <t>Коробка с подарками + Кроха Рыбка</t>
        </is>
      </c>
      <c r="I29" s="3" t="n"/>
      <c r="J29" s="3" t="inlineStr">
        <is>
          <t>autofilled from 03_Objects by Codex</t>
        </is>
      </c>
    </row>
    <row r="30">
      <c r="A30" s="1" t="n">
        <v>5</v>
      </c>
      <c r="B30" s="1" t="n">
        <v>0</v>
      </c>
      <c r="C30" s="2" t="n">
        <v>500</v>
      </c>
      <c r="D30" s="2" t="inlineStr">
        <is>
          <t>Adventure_GR_4</t>
        </is>
      </c>
      <c r="E30" s="2" t="inlineStr">
        <is>
          <t>asset=Adventure_4_5_Reward_1:1</t>
        </is>
      </c>
      <c r="F30" s="2" t="inlineStr">
        <is>
          <t>Декор "С друзьями веселее"</t>
        </is>
      </c>
      <c r="G30" s="2" t="inlineStr">
        <is>
          <t>Мы играли в домино, кот, лиса и петушок. РЫБА!</t>
        </is>
      </c>
      <c r="H30" s="2" t="inlineStr">
        <is>
          <t>Декор "С друзьями веселее"</t>
        </is>
      </c>
      <c r="I30" s="3" t="n"/>
      <c r="J30" s="3" t="inlineStr">
        <is>
          <t>autofilled from 03_Objects by Codex</t>
        </is>
      </c>
    </row>
    <row r="31" ht="30" customHeight="1">
      <c r="A31" s="1" t="n">
        <v>5</v>
      </c>
      <c r="B31" s="1" t="n">
        <v>1</v>
      </c>
      <c r="C31" s="2" t="n">
        <v>1100</v>
      </c>
      <c r="D31" s="2" t="inlineStr">
        <is>
          <t>Adventure_GR_4</t>
        </is>
      </c>
      <c r="E31" s="2" t="inlineStr">
        <is>
          <t>asset=DomovoySpeedModifier_12h:1</t>
        </is>
      </c>
      <c r="F31" s="2" t="inlineStr">
        <is>
          <t>Чары "Шустрик"</t>
        </is>
      </c>
      <c r="G31" s="2" t="inlineStr">
        <is>
          <t>Увеличивает скорость передвижения домовёнка. Рекомендуется применять, если дел много, а времени мало. Действует 12 часов.</t>
        </is>
      </c>
      <c r="H31" s="2" t="inlineStr">
        <is>
          <t>Чары "Шустрик"</t>
        </is>
      </c>
      <c r="I31" s="3" t="n"/>
      <c r="J31" s="3" t="inlineStr">
        <is>
          <t>autofilled from 03_Objects by Codex</t>
        </is>
      </c>
    </row>
    <row r="32">
      <c r="A32" s="1" t="n">
        <v>5</v>
      </c>
      <c r="B32" s="1" t="n">
        <v>2</v>
      </c>
      <c r="C32" s="2" t="n">
        <v>1800</v>
      </c>
      <c r="D32" s="2" t="inlineStr">
        <is>
          <t>Adventure_GR_4</t>
        </is>
      </c>
      <c r="E32" s="2" t="inlineStr">
        <is>
          <t>asset=Adventure_4_Box_1:1</t>
        </is>
      </c>
      <c r="F32" s="2" t="inlineStr">
        <is>
          <t>Коробка с подарками</t>
        </is>
      </c>
      <c r="G32" s="2" t="inlineStr">
        <is>
          <t>Содержит 20 Фоминок и волшебную синюю жабу, дающую грошики раз в день.</t>
        </is>
      </c>
      <c r="H32" s="2" t="inlineStr">
        <is>
          <t>Коробка с подарками</t>
        </is>
      </c>
      <c r="I32" s="3" t="n"/>
      <c r="J32" s="3" t="inlineStr">
        <is>
          <t>autofilled from 03_Objects by Codex</t>
        </is>
      </c>
    </row>
    <row r="33">
      <c r="A33" s="1" t="n">
        <v>5</v>
      </c>
      <c r="B33" s="1" t="n">
        <v>3</v>
      </c>
      <c r="C33" s="2" t="n">
        <v>2500</v>
      </c>
      <c r="D33" s="2" t="inlineStr">
        <is>
          <t>Adventure_GR_4</t>
        </is>
      </c>
      <c r="E33" s="2" t="inlineStr">
        <is>
          <t>asset=Adventure_4_5_Pot_Multi_1:1</t>
        </is>
      </c>
      <c r="F33" s="2" t="inlineStr">
        <is>
          <t>Мечта хозяюшки "Волк и семеро козлят"</t>
        </is>
      </c>
      <c r="G33" s="2" t="inlineStr">
        <is>
          <t>Горшочек сочный любимый. Выращивай в нём по 5 цветов за раз!</t>
        </is>
      </c>
      <c r="H33" s="2" t="inlineStr">
        <is>
          <t>Мечта хозяюшки "Волк и семеро козлят"</t>
        </is>
      </c>
      <c r="I33" s="3" t="n"/>
      <c r="J33" s="3" t="inlineStr">
        <is>
          <t>autofilled from 03_Objects by Codex</t>
        </is>
      </c>
    </row>
    <row r="34" ht="30" customHeight="1">
      <c r="A34" s="1" t="n">
        <v>5</v>
      </c>
      <c r="B34" s="1" t="n">
        <v>4</v>
      </c>
      <c r="C34" s="2" t="n">
        <v>3300</v>
      </c>
      <c r="D34" s="2" t="inlineStr">
        <is>
          <t>Adventure_GR_4</t>
        </is>
      </c>
      <c r="E34" s="2" t="inlineStr">
        <is>
          <t>asset=Adventure_4_Box_2:1</t>
        </is>
      </c>
      <c r="F34" s="2" t="inlineStr">
        <is>
          <t>Коробка с подарками</t>
        </is>
      </c>
      <c r="G34" s="2" t="inlineStr">
        <is>
          <t>Содержит: 30 Фоминок, 2 бустера для мгновенной уборки мусора со всех горшков, 15 оживителей, 15 ускорителей, 20 жетонов</t>
        </is>
      </c>
      <c r="H34" s="2" t="inlineStr">
        <is>
          <t>Коробка с подарками</t>
        </is>
      </c>
      <c r="I34" s="3" t="n"/>
      <c r="J34" s="3" t="inlineStr">
        <is>
          <t>autofilled from 03_Objects by Codex</t>
        </is>
      </c>
    </row>
    <row r="35">
      <c r="A35" s="1" t="n">
        <v>5</v>
      </c>
      <c r="B35" s="1" t="n">
        <v>5</v>
      </c>
      <c r="C35" s="2" t="n">
        <v>4100</v>
      </c>
      <c r="D35" s="2" t="inlineStr">
        <is>
          <t>Adventure_GR_4</t>
        </is>
      </c>
      <c r="E35" s="2" t="inlineStr">
        <is>
          <t>asset=Adventure_4_5_Pot_Multi_Magic:1</t>
        </is>
      </c>
      <c r="F35" s="2" t="inlineStr">
        <is>
          <t>Волшебная мечта хозяюшки "Молочко"</t>
        </is>
      </c>
      <c r="G35" s="2" t="inlineStr">
        <is>
          <t>Нет ничего лучше дома родного! Выращивай сразу 5 волшебных цветочков!</t>
        </is>
      </c>
      <c r="H35" s="2" t="inlineStr">
        <is>
          <t>Волшебная мечта хозяюшки "Молочко"</t>
        </is>
      </c>
      <c r="I35" s="3" t="n"/>
      <c r="J35" s="3" t="inlineStr">
        <is>
          <t>autofilled from 03_Objects by Codex</t>
        </is>
      </c>
    </row>
    <row r="36" ht="45" customHeight="1">
      <c r="A36" s="1" t="n">
        <v>5</v>
      </c>
      <c r="B36" s="1" t="n">
        <v>6</v>
      </c>
      <c r="C36" s="2" t="n">
        <v>5000</v>
      </c>
      <c r="D36" s="2" t="inlineStr">
        <is>
          <t>Adventure_GR_4</t>
        </is>
      </c>
      <c r="E36" s="2" t="inlineStr">
        <is>
          <t>asset=Adventure_4_Box_3:1+asset=Pet17_Adventure_4_5:1</t>
        </is>
      </c>
      <c r="F36" s="2" t="inlineStr">
        <is>
          <t>Коробка с подарками</t>
        </is>
      </c>
      <c r="G36" s="2" t="inlineStr">
        <is>
          <t>Коробка содержит: 50 Фоминок, 4 бустера для мгновенной уборки мусора со всех горшков, 20 оживителей, 20 ускорителей, 30 жетонов.\nСупер-приз кроха "Козлёнок" за достижение последней отметки</t>
        </is>
      </c>
      <c r="H36" s="2" t="inlineStr">
        <is>
          <t>Коробка с подарками + Кроха Козлёнок</t>
        </is>
      </c>
      <c r="I36" s="3" t="n"/>
      <c r="J36" s="3" t="inlineStr">
        <is>
          <t>autofilled from 03_Objects by Codex</t>
        </is>
      </c>
    </row>
    <row r="37">
      <c r="A37" s="1" t="n">
        <v>6</v>
      </c>
      <c r="B37" s="1" t="n">
        <v>0</v>
      </c>
      <c r="C37" s="2" t="n">
        <v>500</v>
      </c>
      <c r="D37" s="2" t="inlineStr">
        <is>
          <t>Adventure_GR_4</t>
        </is>
      </c>
      <c r="E37" s="2" t="inlineStr">
        <is>
          <t>asset=Adventure_4_6_Reward_1:1</t>
        </is>
      </c>
      <c r="F37" s="2" t="inlineStr">
        <is>
          <t>Декор "Сладких снов"</t>
        </is>
      </c>
      <c r="G37" s="2" t="inlineStr">
        <is>
          <t>Подружиться, наиграться и сладко поспать!</t>
        </is>
      </c>
      <c r="H37" s="2" t="inlineStr">
        <is>
          <t>Декор "Сладких снов"</t>
        </is>
      </c>
      <c r="I37" s="3" t="n"/>
      <c r="J37" s="3" t="inlineStr">
        <is>
          <t>autofilled from 03_Objects by Codex</t>
        </is>
      </c>
    </row>
    <row r="38" ht="30" customHeight="1">
      <c r="A38" s="1" t="n">
        <v>6</v>
      </c>
      <c r="B38" s="1" t="n">
        <v>1</v>
      </c>
      <c r="C38" s="2" t="n">
        <v>1100</v>
      </c>
      <c r="D38" s="2" t="inlineStr">
        <is>
          <t>Adventure_GR_4</t>
        </is>
      </c>
      <c r="E38" s="2" t="inlineStr">
        <is>
          <t>asset=DomovoySpeedModifier_12h:1</t>
        </is>
      </c>
      <c r="F38" s="2" t="inlineStr">
        <is>
          <t>Чары "Шустрик"</t>
        </is>
      </c>
      <c r="G38" s="2" t="inlineStr">
        <is>
          <t>Увеличивает скорость передвижения домовёнка. Рекомендуется применять, если дел много, а времени мало. Действует 12 часов.</t>
        </is>
      </c>
      <c r="H38" s="2" t="inlineStr">
        <is>
          <t>Чары "Шустрик"</t>
        </is>
      </c>
      <c r="I38" s="3" t="n"/>
      <c r="J38" s="3" t="inlineStr">
        <is>
          <t>autofilled from 03_Objects by Codex</t>
        </is>
      </c>
    </row>
    <row r="39">
      <c r="A39" s="1" t="n">
        <v>6</v>
      </c>
      <c r="B39" s="1" t="n">
        <v>2</v>
      </c>
      <c r="C39" s="2" t="n">
        <v>1800</v>
      </c>
      <c r="D39" s="2" t="inlineStr">
        <is>
          <t>Adventure_GR_4</t>
        </is>
      </c>
      <c r="E39" s="2" t="inlineStr">
        <is>
          <t>asset=Adventure_4_Box_1:1</t>
        </is>
      </c>
      <c r="F39" s="2" t="inlineStr">
        <is>
          <t>Коробка с подарками</t>
        </is>
      </c>
      <c r="G39" s="2" t="inlineStr">
        <is>
          <t>Содержит 20 Фоминок и волшебную синюю жабу, дающую грошики раз в день.</t>
        </is>
      </c>
      <c r="H39" s="2" t="inlineStr">
        <is>
          <t>Коробка с подарками</t>
        </is>
      </c>
      <c r="I39" s="3" t="n"/>
      <c r="J39" s="3" t="inlineStr">
        <is>
          <t>autofilled from 03_Objects by Codex</t>
        </is>
      </c>
    </row>
    <row r="40" ht="30" customHeight="1">
      <c r="A40" s="1" t="n">
        <v>6</v>
      </c>
      <c r="B40" s="1" t="n">
        <v>3</v>
      </c>
      <c r="C40" s="2" t="n">
        <v>2500</v>
      </c>
      <c r="D40" s="2" t="inlineStr">
        <is>
          <t>Adventure_GR_4</t>
        </is>
      </c>
      <c r="E40" s="2" t="inlineStr">
        <is>
          <t>asset=Adventure_4_6_Pot_Multi_1:1</t>
        </is>
      </c>
      <c r="F40" s="2" t="inlineStr">
        <is>
          <t>Мечта хозяюшки "петушок золотой гребешок"</t>
        </is>
      </c>
      <c r="G40" s="2" t="inlineStr">
        <is>
          <t>Горшочек сочный любимый. Выращивай в нём по 5 цветов за раз!</t>
        </is>
      </c>
      <c r="H40" s="2" t="inlineStr">
        <is>
          <t>Мечта хозяюшки "петушок золотой гребешок"</t>
        </is>
      </c>
      <c r="I40" s="3" t="n"/>
      <c r="J40" s="3" t="inlineStr">
        <is>
          <t>autofilled from 03_Objects by Codex</t>
        </is>
      </c>
    </row>
    <row r="41" ht="30" customHeight="1">
      <c r="A41" s="1" t="n">
        <v>6</v>
      </c>
      <c r="B41" s="1" t="n">
        <v>4</v>
      </c>
      <c r="C41" s="2" t="n">
        <v>3300</v>
      </c>
      <c r="D41" s="2" t="inlineStr">
        <is>
          <t>Adventure_GR_4</t>
        </is>
      </c>
      <c r="E41" s="2" t="inlineStr">
        <is>
          <t>asset=Adventure_4_Box_2:1</t>
        </is>
      </c>
      <c r="F41" s="2" t="inlineStr">
        <is>
          <t>Коробка с подарками</t>
        </is>
      </c>
      <c r="G41" s="2" t="inlineStr">
        <is>
          <t>Содержит: 30 Фоминок, 2 бустера для мгновенной уборки мусора со всех горшков, 15 оживителей, 15 ускорителей, 20 жетонов</t>
        </is>
      </c>
      <c r="H41" s="2" t="inlineStr">
        <is>
          <t>Коробка с подарками</t>
        </is>
      </c>
      <c r="I41" s="3" t="n"/>
      <c r="J41" s="3" t="inlineStr">
        <is>
          <t>autofilled from 03_Objects by Codex</t>
        </is>
      </c>
    </row>
    <row r="42" ht="30" customHeight="1">
      <c r="A42" s="1" t="n">
        <v>6</v>
      </c>
      <c r="B42" s="1" t="n">
        <v>5</v>
      </c>
      <c r="C42" s="2" t="n">
        <v>4100</v>
      </c>
      <c r="D42" s="2" t="inlineStr">
        <is>
          <t>Adventure_GR_4</t>
        </is>
      </c>
      <c r="E42" s="2" t="inlineStr">
        <is>
          <t>asset=Adventure_4_6_Pot_Multi_Magic:1</t>
        </is>
      </c>
      <c r="F42" s="2" t="inlineStr">
        <is>
          <t>Волшебная мечта хозяюшки "Дом, милый дом"</t>
        </is>
      </c>
      <c r="G42" s="2" t="inlineStr">
        <is>
          <t>Самое питательное, самое жирное, самое вкусное! Выращивай сразу 5 волшебных цветочков!</t>
        </is>
      </c>
      <c r="H42" s="2" t="inlineStr">
        <is>
          <t>Волшебная мечта хозяюшки "Дом, милый дом"</t>
        </is>
      </c>
      <c r="I42" s="3" t="n"/>
      <c r="J42" s="3" t="inlineStr">
        <is>
          <t>autofilled from 03_Objects by Codex</t>
        </is>
      </c>
    </row>
    <row r="43" ht="45" customHeight="1">
      <c r="A43" s="1" t="n">
        <v>6</v>
      </c>
      <c r="B43" s="1" t="n">
        <v>6</v>
      </c>
      <c r="C43" s="2" t="n">
        <v>5000</v>
      </c>
      <c r="D43" s="2" t="inlineStr">
        <is>
          <t>Adventure_GR_4</t>
        </is>
      </c>
      <c r="E43" s="2" t="inlineStr">
        <is>
          <t>asset=Adventure_4_Box_3:1+asset=Pet17_Adventure_4_6:1</t>
        </is>
      </c>
      <c r="F43" s="2" t="inlineStr">
        <is>
          <t>Коробка с подарками</t>
        </is>
      </c>
      <c r="G43" s="2" t="inlineStr">
        <is>
          <t>Коробка содержит: 50 Фоминок, 4 бустера для мгновенной уборки мусора со всех горшков, 20 оживителей, 20 ускорителей, 30 жетонов.\nСупер-приз кроха "Петушок" за достижение последней отметки</t>
        </is>
      </c>
      <c r="H43" s="2" t="inlineStr">
        <is>
          <t>Коробка с подарками + Кроха Петушок</t>
        </is>
      </c>
      <c r="I43" s="3" t="n"/>
      <c r="J43" s="3" t="inlineStr">
        <is>
          <t>autofilled from 03_Objects by Codex</t>
        </is>
      </c>
    </row>
    <row r="44">
      <c r="A44" s="1" t="n">
        <v>7</v>
      </c>
      <c r="B44" s="1" t="n">
        <v>0</v>
      </c>
      <c r="C44" s="2" t="n">
        <v>500</v>
      </c>
      <c r="D44" s="2" t="inlineStr">
        <is>
          <t>Adventure_GR_4</t>
        </is>
      </c>
      <c r="E44" s="2" t="inlineStr">
        <is>
          <t>asset=Adventure_4_7_Reward_1:1</t>
        </is>
      </c>
      <c r="F44" s="2" t="inlineStr">
        <is>
          <t>Декор "Чаепитие"</t>
        </is>
      </c>
      <c r="G44" s="2" t="inlineStr">
        <is>
          <t>Красная шапочка и её щенята!</t>
        </is>
      </c>
      <c r="H44" s="2" t="inlineStr">
        <is>
          <t>Декор "Чаепитие"</t>
        </is>
      </c>
      <c r="I44" s="3" t="n"/>
      <c r="J44" s="3" t="inlineStr">
        <is>
          <t>autofilled from 03_Objects by Codex</t>
        </is>
      </c>
    </row>
    <row r="45" ht="30" customHeight="1">
      <c r="A45" s="1" t="n">
        <v>7</v>
      </c>
      <c r="B45" s="1" t="n">
        <v>1</v>
      </c>
      <c r="C45" s="2" t="n">
        <v>1100</v>
      </c>
      <c r="D45" s="2" t="inlineStr">
        <is>
          <t>Adventure_GR_4</t>
        </is>
      </c>
      <c r="E45" s="2" t="inlineStr">
        <is>
          <t>asset=DomovoySpeedModifier_12h:1</t>
        </is>
      </c>
      <c r="F45" s="2" t="inlineStr">
        <is>
          <t>Чары "Шустрик"</t>
        </is>
      </c>
      <c r="G45" s="2" t="inlineStr">
        <is>
          <t>Увеличивает скорость передвижения домовёнка. Рекомендуется применять, если дел много, а времени мало. Действует 12 часов.</t>
        </is>
      </c>
      <c r="H45" s="2" t="inlineStr">
        <is>
          <t>Чары "Шустрик"</t>
        </is>
      </c>
      <c r="I45" s="3" t="n"/>
      <c r="J45" s="3" t="inlineStr">
        <is>
          <t>autofilled from 03_Objects by Codex</t>
        </is>
      </c>
    </row>
    <row r="46">
      <c r="A46" s="1" t="n">
        <v>7</v>
      </c>
      <c r="B46" s="1" t="n">
        <v>2</v>
      </c>
      <c r="C46" s="2" t="n">
        <v>1800</v>
      </c>
      <c r="D46" s="2" t="inlineStr">
        <is>
          <t>Adventure_GR_4</t>
        </is>
      </c>
      <c r="E46" s="2" t="inlineStr">
        <is>
          <t>asset=Adventure_4_Box_1:1</t>
        </is>
      </c>
      <c r="F46" s="2" t="inlineStr">
        <is>
          <t>Коробка с подарками</t>
        </is>
      </c>
      <c r="G46" s="2" t="inlineStr">
        <is>
          <t>Содержит 20 Фоминок и волшебную синюю жабу, дающую грошики раз в день.</t>
        </is>
      </c>
      <c r="H46" s="2" t="inlineStr">
        <is>
          <t>Коробка с подарками</t>
        </is>
      </c>
      <c r="I46" s="3" t="n"/>
      <c r="J46" s="3" t="inlineStr">
        <is>
          <t>autofilled from 03_Objects by Codex</t>
        </is>
      </c>
    </row>
    <row r="47">
      <c r="A47" s="1" t="n">
        <v>7</v>
      </c>
      <c r="B47" s="1" t="n">
        <v>3</v>
      </c>
      <c r="C47" s="2" t="n">
        <v>2500</v>
      </c>
      <c r="D47" s="2" t="inlineStr">
        <is>
          <t>Adventure_GR_4</t>
        </is>
      </c>
      <c r="E47" s="2" t="inlineStr">
        <is>
          <t>asset=Adventure_4_7_Pot_Multi_1:1</t>
        </is>
      </c>
      <c r="F47" s="2" t="inlineStr">
        <is>
          <t>Мечта хозяюшки "Волк и семеро козлят"</t>
        </is>
      </c>
      <c r="G47" s="2" t="inlineStr">
        <is>
          <t>Горшочек сочный любимый. Выращивай в нём по 5 цветов за раз!</t>
        </is>
      </c>
      <c r="H47" s="2" t="inlineStr">
        <is>
          <t>Мечта хозяюшки "Волк и семеро козлят"</t>
        </is>
      </c>
      <c r="I47" s="3" t="n"/>
      <c r="J47" s="3" t="inlineStr">
        <is>
          <t>autofilled from 03_Objects by Codex</t>
        </is>
      </c>
    </row>
    <row r="48" ht="30" customHeight="1">
      <c r="A48" s="1" t="n">
        <v>7</v>
      </c>
      <c r="B48" s="1" t="n">
        <v>4</v>
      </c>
      <c r="C48" s="2" t="n">
        <v>3300</v>
      </c>
      <c r="D48" s="2" t="inlineStr">
        <is>
          <t>Adventure_GR_4</t>
        </is>
      </c>
      <c r="E48" s="2" t="inlineStr">
        <is>
          <t>asset=Adventure_4_Box_2:1</t>
        </is>
      </c>
      <c r="F48" s="2" t="inlineStr">
        <is>
          <t>Коробка с подарками</t>
        </is>
      </c>
      <c r="G48" s="2" t="inlineStr">
        <is>
          <t>Содержит: 30 Фоминок, 2 бустера для мгновенной уборки мусора со всех горшков, 15 оживителей, 15 ускорителей, 20 жетонов</t>
        </is>
      </c>
      <c r="H48" s="2" t="inlineStr">
        <is>
          <t>Коробка с подарками</t>
        </is>
      </c>
      <c r="I48" s="3" t="n"/>
      <c r="J48" s="3" t="inlineStr">
        <is>
          <t>autofilled from 03_Objects by Codex</t>
        </is>
      </c>
    </row>
    <row r="49">
      <c r="A49" s="1" t="n">
        <v>7</v>
      </c>
      <c r="B49" s="1" t="n">
        <v>5</v>
      </c>
      <c r="C49" s="2" t="n">
        <v>4100</v>
      </c>
      <c r="D49" s="2" t="inlineStr">
        <is>
          <t>Adventure_GR_4</t>
        </is>
      </c>
      <c r="E49" s="2" t="inlineStr">
        <is>
          <t>asset=Adventure_4_7_Pot_Multi_Magic:1</t>
        </is>
      </c>
      <c r="F49" s="2" t="inlineStr">
        <is>
          <t>Волшебная мечта хозяюшки "Пирожок"</t>
        </is>
      </c>
      <c r="G49" s="2" t="inlineStr">
        <is>
          <t>Взять с полки и скушать! Выращивай сразу 5 волшебных цветочков!</t>
        </is>
      </c>
      <c r="H49" s="2" t="inlineStr">
        <is>
          <t>Волшебная мечта хозяюшки "Пирожок"</t>
        </is>
      </c>
      <c r="I49" s="3" t="n"/>
      <c r="J49" s="3" t="inlineStr">
        <is>
          <t>autofilled from 03_Objects by Codex</t>
        </is>
      </c>
    </row>
    <row r="50" ht="45" customHeight="1">
      <c r="A50" s="1" t="n">
        <v>7</v>
      </c>
      <c r="B50" s="1" t="n">
        <v>6</v>
      </c>
      <c r="C50" s="2" t="n">
        <v>5000</v>
      </c>
      <c r="D50" s="2" t="inlineStr">
        <is>
          <t>Adventure_GR_4</t>
        </is>
      </c>
      <c r="E50" s="2" t="inlineStr">
        <is>
          <t>asset=Adventure_4_Box_3:1+asset=Pet17_Adventure_4_7:1</t>
        </is>
      </c>
      <c r="F50" s="2" t="inlineStr">
        <is>
          <t>Коробка с подарками</t>
        </is>
      </c>
      <c r="G50" s="2" t="inlineStr">
        <is>
          <t>Коробка содержит: 50 Фоминок, 4 бустера для мгновенной уборки мусора со всех горшков, 20 оживителей, 20 ускорителей, 30 жетонов.\nСупер-приз кроха "Волчок" за достижение последней отметки</t>
        </is>
      </c>
      <c r="H50" s="2" t="inlineStr">
        <is>
          <t>Коробка с подарками + Кроха Волчок</t>
        </is>
      </c>
      <c r="I50" s="3" t="n"/>
      <c r="J50" s="3" t="inlineStr">
        <is>
          <t>autofilled from 03_Objects by Codex</t>
        </is>
      </c>
    </row>
    <row r="51">
      <c r="A51" s="1" t="n">
        <v>8</v>
      </c>
      <c r="B51" s="1" t="n">
        <v>0</v>
      </c>
      <c r="C51" s="2" t="n">
        <v>500</v>
      </c>
      <c r="D51" s="2" t="inlineStr">
        <is>
          <t>Adventure_GR_4</t>
        </is>
      </c>
      <c r="E51" s="2" t="inlineStr">
        <is>
          <t>asset=Adventure_4_8_Reward_1:1</t>
        </is>
      </c>
      <c r="F51" s="2" t="inlineStr">
        <is>
          <t>Декор "Домик поросят"</t>
        </is>
      </c>
      <c r="G51" s="2" t="inlineStr">
        <is>
          <t>Кто упорно тренировался у того и результаты на лицо!</t>
        </is>
      </c>
      <c r="H51" s="2" t="inlineStr">
        <is>
          <t>Декор "Домик поросят"</t>
        </is>
      </c>
      <c r="I51" s="3" t="n"/>
      <c r="J51" s="3" t="inlineStr">
        <is>
          <t>autofilled from 03_Objects by Codex</t>
        </is>
      </c>
    </row>
    <row r="52" ht="30" customHeight="1">
      <c r="A52" s="1" t="n">
        <v>8</v>
      </c>
      <c r="B52" s="1" t="n">
        <v>1</v>
      </c>
      <c r="C52" s="2" t="n">
        <v>1100</v>
      </c>
      <c r="D52" s="2" t="inlineStr">
        <is>
          <t>Adventure_GR_4</t>
        </is>
      </c>
      <c r="E52" s="2" t="inlineStr">
        <is>
          <t>asset=DomovoySpeedModifier_12h:1</t>
        </is>
      </c>
      <c r="F52" s="2" t="inlineStr">
        <is>
          <t>Чары "Шустрик"</t>
        </is>
      </c>
      <c r="G52" s="2" t="inlineStr">
        <is>
          <t>Увеличивает скорость передвижения домовёнка. Рекомендуется применять, если дел много, а времени мало. Действует 12 часов.</t>
        </is>
      </c>
      <c r="H52" s="2" t="inlineStr">
        <is>
          <t>Чары "Шустрик"</t>
        </is>
      </c>
      <c r="I52" s="3" t="n"/>
      <c r="J52" s="3" t="inlineStr">
        <is>
          <t>autofilled from 03_Objects by Codex</t>
        </is>
      </c>
    </row>
    <row r="53">
      <c r="A53" s="1" t="n">
        <v>8</v>
      </c>
      <c r="B53" s="1" t="n">
        <v>2</v>
      </c>
      <c r="C53" s="2" t="n">
        <v>1800</v>
      </c>
      <c r="D53" s="2" t="inlineStr">
        <is>
          <t>Adventure_GR_4</t>
        </is>
      </c>
      <c r="E53" s="2" t="inlineStr">
        <is>
          <t>asset=Adventure_4_Box_1:1</t>
        </is>
      </c>
      <c r="F53" s="2" t="inlineStr">
        <is>
          <t>Коробка с подарками</t>
        </is>
      </c>
      <c r="G53" s="2" t="inlineStr">
        <is>
          <t>Содержит 20 Фоминок и волшебную синюю жабу, дающую грошики раз в день.</t>
        </is>
      </c>
      <c r="H53" s="2" t="inlineStr">
        <is>
          <t>Коробка с подарками</t>
        </is>
      </c>
      <c r="I53" s="3" t="n"/>
      <c r="J53" s="3" t="inlineStr">
        <is>
          <t>autofilled from 03_Objects by Codex</t>
        </is>
      </c>
    </row>
    <row r="54">
      <c r="A54" s="1" t="n">
        <v>8</v>
      </c>
      <c r="B54" s="1" t="n">
        <v>3</v>
      </c>
      <c r="C54" s="2" t="n">
        <v>2500</v>
      </c>
      <c r="D54" s="2" t="inlineStr">
        <is>
          <t>Adventure_GR_4</t>
        </is>
      </c>
      <c r="E54" s="2" t="inlineStr">
        <is>
          <t>asset=Adventure_4_8_Pot_Multi_1:1</t>
        </is>
      </c>
      <c r="F54" s="2" t="inlineStr">
        <is>
          <t>Мечта хозяюшки "Три поросёнка"</t>
        </is>
      </c>
      <c r="G54" s="2" t="inlineStr">
        <is>
          <t>Горшочек сочный любимый. Выращивай в нём по 5 цветов за раз!</t>
        </is>
      </c>
      <c r="H54" s="2" t="inlineStr">
        <is>
          <t>Мечта хозяюшки "Три поросёнка"</t>
        </is>
      </c>
      <c r="I54" s="3" t="n"/>
      <c r="J54" s="3" t="inlineStr">
        <is>
          <t>autofilled from 03_Objects by Codex</t>
        </is>
      </c>
    </row>
    <row r="55" ht="30" customHeight="1">
      <c r="A55" s="1" t="n">
        <v>8</v>
      </c>
      <c r="B55" s="1" t="n">
        <v>4</v>
      </c>
      <c r="C55" s="2" t="n">
        <v>3300</v>
      </c>
      <c r="D55" s="2" t="inlineStr">
        <is>
          <t>Adventure_GR_4</t>
        </is>
      </c>
      <c r="E55" s="2" t="inlineStr">
        <is>
          <t>asset=Adventure_4_Box_2:1</t>
        </is>
      </c>
      <c r="F55" s="2" t="inlineStr">
        <is>
          <t>Коробка с подарками</t>
        </is>
      </c>
      <c r="G55" s="2" t="inlineStr">
        <is>
          <t>Содержит: 30 Фоминок, 2 бустера для мгновенной уборки мусора со всех горшков, 15 оживителей, 15 ускорителей, 20 жетонов</t>
        </is>
      </c>
      <c r="H55" s="2" t="inlineStr">
        <is>
          <t>Коробка с подарками</t>
        </is>
      </c>
      <c r="I55" s="3" t="n"/>
      <c r="J55" s="3" t="inlineStr">
        <is>
          <t>autofilled from 03_Objects by Codex</t>
        </is>
      </c>
    </row>
    <row r="56" ht="30" customHeight="1">
      <c r="A56" s="1" t="n">
        <v>8</v>
      </c>
      <c r="B56" s="1" t="n">
        <v>5</v>
      </c>
      <c r="C56" s="2" t="n">
        <v>4100</v>
      </c>
      <c r="D56" s="2" t="inlineStr">
        <is>
          <t>Adventure_GR_4</t>
        </is>
      </c>
      <c r="E56" s="2" t="inlineStr">
        <is>
          <t>asset=Adventure_4_8_Pot_Multi_Magic:1</t>
        </is>
      </c>
      <c r="F56" s="2" t="inlineStr">
        <is>
          <t>Волшебная мечта хозяюшки "Пирожок"</t>
        </is>
      </c>
      <c r="G56" s="2" t="inlineStr">
        <is>
          <t>Это вам не солома и не палочки, а кирпич! Выращивай сразу 5 волшебных цветочков!</t>
        </is>
      </c>
      <c r="H56" s="2" t="inlineStr">
        <is>
          <t>Волшебная мечта хозяюшки "Пирожок"</t>
        </is>
      </c>
      <c r="I56" s="3" t="n"/>
      <c r="J56" s="3" t="inlineStr">
        <is>
          <t>autofilled from 03_Objects by Codex</t>
        </is>
      </c>
    </row>
    <row r="57" ht="45" customHeight="1">
      <c r="A57" s="1" t="n">
        <v>8</v>
      </c>
      <c r="B57" s="1" t="n">
        <v>6</v>
      </c>
      <c r="C57" s="2" t="n">
        <v>5000</v>
      </c>
      <c r="D57" s="2" t="inlineStr">
        <is>
          <t>Adventure_GR_4</t>
        </is>
      </c>
      <c r="E57" s="2" t="inlineStr">
        <is>
          <t>asset=Adventure_4_Box_3:1+asset=Pet17_Adventure_4_8:1</t>
        </is>
      </c>
      <c r="F57" s="2" t="inlineStr">
        <is>
          <t>Коробка с подарками</t>
        </is>
      </c>
      <c r="G57" s="2" t="inlineStr">
        <is>
          <t>Коробка содержит: 50 Фоминок, 4 бустера для мгновенной уборки мусора со всех горшков, 20 оживителей, 20 ускорителей, 30 жетонов.\nСупер-приз кроха "Поросёнок" за достижение последней отметки</t>
        </is>
      </c>
      <c r="H57" s="2" t="inlineStr">
        <is>
          <t>Коробка с подарками + Кроха Поросёнок</t>
        </is>
      </c>
      <c r="I57" s="3" t="n"/>
      <c r="J57" s="3" t="inlineStr">
        <is>
          <t>autofilled from 03_Objects by Codex</t>
        </is>
      </c>
    </row>
    <row r="58">
      <c r="A58" s="1" t="n">
        <v>9</v>
      </c>
      <c r="B58" s="1" t="n">
        <v>0</v>
      </c>
      <c r="C58" s="2" t="n">
        <v>500</v>
      </c>
      <c r="D58" s="2" t="inlineStr">
        <is>
          <t>Adventure_GR_4</t>
        </is>
      </c>
      <c r="E58" s="2" t="inlineStr">
        <is>
          <t>asset=Adventure_4_9_Reward_1:1</t>
        </is>
      </c>
      <c r="F58" s="2" t="inlineStr">
        <is>
          <t>Декор "Супчик по особому рецепту"</t>
        </is>
      </c>
      <c r="G58" s="2" t="inlineStr">
        <is>
          <t>В очках мы суп варили, но что-то важное, всё же успустили!</t>
        </is>
      </c>
      <c r="H58" s="2" t="inlineStr">
        <is>
          <t>Декор "Супчик по особому рецепту"</t>
        </is>
      </c>
      <c r="I58" s="3" t="n"/>
      <c r="J58" s="3" t="inlineStr">
        <is>
          <t>autofilled from 03_Objects by Codex</t>
        </is>
      </c>
    </row>
    <row r="59" ht="30" customHeight="1">
      <c r="A59" s="1" t="n">
        <v>9</v>
      </c>
      <c r="B59" s="1" t="n">
        <v>1</v>
      </c>
      <c r="C59" s="2" t="n">
        <v>1100</v>
      </c>
      <c r="D59" s="2" t="inlineStr">
        <is>
          <t>Adventure_GR_4</t>
        </is>
      </c>
      <c r="E59" s="2" t="inlineStr">
        <is>
          <t>asset=DomovoySpeedModifier_12h:1</t>
        </is>
      </c>
      <c r="F59" s="2" t="inlineStr">
        <is>
          <t>Чары "Шустрик"</t>
        </is>
      </c>
      <c r="G59" s="2" t="inlineStr">
        <is>
          <t>Увеличивает скорость передвижения домовёнка. Рекомендуется применять, если дел много, а времени мало. Действует 12 часов.</t>
        </is>
      </c>
      <c r="H59" s="2" t="inlineStr">
        <is>
          <t>Чары "Шустрик"</t>
        </is>
      </c>
      <c r="I59" s="3" t="n"/>
      <c r="J59" s="3" t="inlineStr">
        <is>
          <t>autofilled from 03_Objects by Codex</t>
        </is>
      </c>
    </row>
    <row r="60">
      <c r="A60" s="1" t="n">
        <v>9</v>
      </c>
      <c r="B60" s="1" t="n">
        <v>2</v>
      </c>
      <c r="C60" s="2" t="n">
        <v>1800</v>
      </c>
      <c r="D60" s="2" t="inlineStr">
        <is>
          <t>Adventure_GR_4</t>
        </is>
      </c>
      <c r="E60" s="2" t="inlineStr">
        <is>
          <t>asset=Adventure_4_Box_1:1</t>
        </is>
      </c>
      <c r="F60" s="2" t="inlineStr">
        <is>
          <t>Коробка с подарками</t>
        </is>
      </c>
      <c r="G60" s="2" t="inlineStr">
        <is>
          <t>Содержит 20 Фоминок и волшебную синюю жабу, дающую грошики раз в день.</t>
        </is>
      </c>
      <c r="H60" s="2" t="inlineStr">
        <is>
          <t>Коробка с подарками</t>
        </is>
      </c>
      <c r="I60" s="3" t="n"/>
      <c r="J60" s="3" t="inlineStr">
        <is>
          <t>autofilled from 03_Objects by Codex</t>
        </is>
      </c>
    </row>
    <row r="61">
      <c r="A61" s="1" t="n">
        <v>9</v>
      </c>
      <c r="B61" s="1" t="n">
        <v>3</v>
      </c>
      <c r="C61" s="2" t="n">
        <v>2500</v>
      </c>
      <c r="D61" s="2" t="inlineStr">
        <is>
          <t>Adventure_GR_4</t>
        </is>
      </c>
      <c r="E61" s="2" t="inlineStr">
        <is>
          <t>asset=Adventure_4_9_Pot_Multi_1:1</t>
        </is>
      </c>
      <c r="F61" s="2" t="inlineStr">
        <is>
          <t>Мечта хозяюшки "Мартышка и очки"</t>
        </is>
      </c>
      <c r="G61" s="2" t="inlineStr">
        <is>
          <t>Горшочек сочный любимый. Выращивай в нём по 5 цветов за раз!</t>
        </is>
      </c>
      <c r="H61" s="2" t="inlineStr">
        <is>
          <t>Мечта хозяюшки "Мартышка и очки"</t>
        </is>
      </c>
      <c r="I61" s="3" t="n"/>
      <c r="J61" s="3" t="inlineStr">
        <is>
          <t>autofilled from 03_Objects by Codex</t>
        </is>
      </c>
    </row>
    <row r="62" ht="30" customHeight="1">
      <c r="A62" s="1" t="n">
        <v>9</v>
      </c>
      <c r="B62" s="1" t="n">
        <v>4</v>
      </c>
      <c r="C62" s="2" t="n">
        <v>3300</v>
      </c>
      <c r="D62" s="2" t="inlineStr">
        <is>
          <t>Adventure_GR_4</t>
        </is>
      </c>
      <c r="E62" s="2" t="inlineStr">
        <is>
          <t>asset=Adventure_4_Box_2:1</t>
        </is>
      </c>
      <c r="F62" s="2" t="inlineStr">
        <is>
          <t>Коробка с подарками</t>
        </is>
      </c>
      <c r="G62" s="2" t="inlineStr">
        <is>
          <t>Содержит: 30 Фоминок, 2 бустера для мгновенной уборки мусора со всех горшков, 15 оживителей, 15 ускорителей, 20 жетонов</t>
        </is>
      </c>
      <c r="H62" s="2" t="inlineStr">
        <is>
          <t>Коробка с подарками</t>
        </is>
      </c>
      <c r="I62" s="3" t="n"/>
      <c r="J62" s="3" t="inlineStr">
        <is>
          <t>autofilled from 03_Objects by Codex</t>
        </is>
      </c>
    </row>
    <row r="63">
      <c r="A63" s="1" t="n">
        <v>9</v>
      </c>
      <c r="B63" s="1" t="n">
        <v>5</v>
      </c>
      <c r="C63" s="2" t="n">
        <v>4100</v>
      </c>
      <c r="D63" s="2" t="inlineStr">
        <is>
          <t>Adventure_GR_4</t>
        </is>
      </c>
      <c r="E63" s="2" t="inlineStr">
        <is>
          <t>asset=Adventure_4_9_Pot_Multi_Magic:1</t>
        </is>
      </c>
      <c r="F63" s="2" t="inlineStr">
        <is>
          <t>Волшебная мечта хозяюшки "Очки"</t>
        </is>
      </c>
      <c r="G63" s="2" t="inlineStr">
        <is>
          <t>Очень стильно, очень красиво! Выращивай сразу 5 волшебных цветочков!</t>
        </is>
      </c>
      <c r="H63" s="2" t="inlineStr">
        <is>
          <t>Волшебная мечта хозяюшки "Очки"</t>
        </is>
      </c>
      <c r="I63" s="3" t="n"/>
      <c r="J63" s="3" t="inlineStr">
        <is>
          <t>autofilled from 03_Objects by Codex</t>
        </is>
      </c>
    </row>
    <row r="64" ht="45" customHeight="1">
      <c r="A64" s="1" t="n">
        <v>9</v>
      </c>
      <c r="B64" s="1" t="n">
        <v>6</v>
      </c>
      <c r="C64" s="2" t="n">
        <v>5000</v>
      </c>
      <c r="D64" s="2" t="inlineStr">
        <is>
          <t>Adventure_GR_4</t>
        </is>
      </c>
      <c r="E64" s="2" t="inlineStr">
        <is>
          <t>asset=Adventure_4_Box_3:1+asset=Pet17_Adventure_4_9:1</t>
        </is>
      </c>
      <c r="F64" s="2" t="inlineStr">
        <is>
          <t>Коробка с подарками</t>
        </is>
      </c>
      <c r="G64" s="2" t="inlineStr">
        <is>
          <t>Коробка содержит: 50 Фоминок, 4 бустера для мгновенной уборки мусора со всех горшков, 20 оживителей, 20 ускорителей, 30 жетонов.\nСупер-приз кроха "Мартышка" за достижение последней отметки</t>
        </is>
      </c>
      <c r="H64" s="2" t="inlineStr">
        <is>
          <t>Коробка с подарками + Кроха Мартышка</t>
        </is>
      </c>
      <c r="I64" s="3" t="n"/>
      <c r="J64" s="3" t="inlineStr">
        <is>
          <t>autofilled from 03_Objects by Codex</t>
        </is>
      </c>
    </row>
    <row r="65">
      <c r="A65" s="1" t="n">
        <v>10</v>
      </c>
      <c r="B65" s="1" t="n">
        <v>0</v>
      </c>
      <c r="C65" s="2" t="n">
        <v>500</v>
      </c>
      <c r="D65" s="2" t="inlineStr">
        <is>
          <t>Adventure_GR_4</t>
        </is>
      </c>
      <c r="E65" s="2" t="inlineStr">
        <is>
          <t>asset=Adventure_4_10_Reward_1:1</t>
        </is>
      </c>
      <c r="F65" s="2" t="inlineStr">
        <is>
          <t>Декор "Лиса и медведь"</t>
        </is>
      </c>
      <c r="G65" s="2" t="inlineStr">
        <is>
          <t>Идея высший класс, маскировка медведя под пчелку!</t>
        </is>
      </c>
      <c r="H65" s="2" t="inlineStr">
        <is>
          <t>Декор "Лиса и медведь"</t>
        </is>
      </c>
      <c r="I65" s="3" t="n"/>
      <c r="J65" s="3" t="inlineStr">
        <is>
          <t>autofilled from 03_Objects by Codex</t>
        </is>
      </c>
    </row>
    <row r="66" ht="30" customHeight="1">
      <c r="A66" s="1" t="n">
        <v>10</v>
      </c>
      <c r="B66" s="1" t="n">
        <v>1</v>
      </c>
      <c r="C66" s="2" t="n">
        <v>1100</v>
      </c>
      <c r="D66" s="2" t="inlineStr">
        <is>
          <t>Adventure_GR_4</t>
        </is>
      </c>
      <c r="E66" s="2" t="inlineStr">
        <is>
          <t>asset=DomovoySpeedModifier_12h:1</t>
        </is>
      </c>
      <c r="F66" s="2" t="inlineStr">
        <is>
          <t>Чары "Шустрик"</t>
        </is>
      </c>
      <c r="G66" s="2" t="inlineStr">
        <is>
          <t>Увеличивает скорость передвижения домовёнка. Рекомендуется применять, если дел много, а времени мало. Действует 12 часов.</t>
        </is>
      </c>
      <c r="H66" s="2" t="inlineStr">
        <is>
          <t>Чары "Шустрик"</t>
        </is>
      </c>
      <c r="I66" s="3" t="n"/>
      <c r="J66" s="3" t="inlineStr">
        <is>
          <t>autofilled from 03_Objects by Codex</t>
        </is>
      </c>
    </row>
    <row r="67">
      <c r="A67" s="1" t="n">
        <v>10</v>
      </c>
      <c r="B67" s="1" t="n">
        <v>2</v>
      </c>
      <c r="C67" s="2" t="n">
        <v>1800</v>
      </c>
      <c r="D67" s="2" t="inlineStr">
        <is>
          <t>Adventure_GR_4</t>
        </is>
      </c>
      <c r="E67" s="2" t="inlineStr">
        <is>
          <t>asset=Adventure_4_Box_1:1</t>
        </is>
      </c>
      <c r="F67" s="2" t="inlineStr">
        <is>
          <t>Коробка с подарками</t>
        </is>
      </c>
      <c r="G67" s="2" t="inlineStr">
        <is>
          <t>Содержит 20 Фоминок и волшебную синюю жабу, дающую грошики раз в день.</t>
        </is>
      </c>
      <c r="H67" s="2" t="inlineStr">
        <is>
          <t>Коробка с подарками</t>
        </is>
      </c>
      <c r="I67" s="3" t="n"/>
      <c r="J67" s="3" t="inlineStr">
        <is>
          <t>autofilled from 03_Objects by Codex</t>
        </is>
      </c>
    </row>
    <row r="68">
      <c r="A68" s="1" t="n">
        <v>10</v>
      </c>
      <c r="B68" s="1" t="n">
        <v>3</v>
      </c>
      <c r="C68" s="2" t="n">
        <v>2500</v>
      </c>
      <c r="D68" s="2" t="inlineStr">
        <is>
          <t>Adventure_GR_4</t>
        </is>
      </c>
      <c r="E68" s="2" t="inlineStr">
        <is>
          <t>asset=Adventure_4_10_Pot_Multi_1:1</t>
        </is>
      </c>
      <c r="F68" s="2" t="inlineStr">
        <is>
          <t>Мечта хозяюшки "Лиса и медведь"</t>
        </is>
      </c>
      <c r="G68" s="2" t="inlineStr">
        <is>
          <t>Горшочек сочный любимый. Выращивай в нём по 5 цветов за раз!</t>
        </is>
      </c>
      <c r="H68" s="2" t="inlineStr">
        <is>
          <t>Мечта хозяюшки "Лиса и медведь"</t>
        </is>
      </c>
      <c r="I68" s="3" t="n"/>
      <c r="J68" s="3" t="inlineStr">
        <is>
          <t>autofilled from 03_Objects by Codex</t>
        </is>
      </c>
    </row>
    <row r="69" ht="30" customHeight="1">
      <c r="A69" s="1" t="n">
        <v>10</v>
      </c>
      <c r="B69" s="1" t="n">
        <v>4</v>
      </c>
      <c r="C69" s="2" t="n">
        <v>3300</v>
      </c>
      <c r="D69" s="2" t="inlineStr">
        <is>
          <t>Adventure_GR_4</t>
        </is>
      </c>
      <c r="E69" s="2" t="inlineStr">
        <is>
          <t>asset=Adventure_4_Box_2:1</t>
        </is>
      </c>
      <c r="F69" s="2" t="inlineStr">
        <is>
          <t>Коробка с подарками</t>
        </is>
      </c>
      <c r="G69" s="2" t="inlineStr">
        <is>
          <t>Содержит: 30 Фоминок, 2 бустера для мгновенной уборки мусора со всех горшков, 15 оживителей, 15 ускорителей, 20 жетонов</t>
        </is>
      </c>
      <c r="H69" s="2" t="inlineStr">
        <is>
          <t>Коробка с подарками</t>
        </is>
      </c>
      <c r="I69" s="3" t="n"/>
      <c r="J69" s="3" t="inlineStr">
        <is>
          <t>autofilled from 03_Objects by Codex</t>
        </is>
      </c>
    </row>
    <row r="70" ht="30" customHeight="1">
      <c r="A70" s="1" t="n">
        <v>10</v>
      </c>
      <c r="B70" s="1" t="n">
        <v>5</v>
      </c>
      <c r="C70" s="2" t="n">
        <v>4100</v>
      </c>
      <c r="D70" s="2" t="inlineStr">
        <is>
          <t>Adventure_GR_4</t>
        </is>
      </c>
      <c r="E70" s="2" t="inlineStr">
        <is>
          <t>asset=Adventure_4_10_Pot_Multi_Magic:1</t>
        </is>
      </c>
      <c r="F70" s="2" t="inlineStr">
        <is>
          <t>Волшебная мечта хозяюшки "Медовые соты"</t>
        </is>
      </c>
      <c r="G70" s="2" t="inlineStr">
        <is>
          <t>Созданый трудолюбивыми пчелками горшочек! Выращивай сразу 5 волшебных цветочков!</t>
        </is>
      </c>
      <c r="H70" s="2" t="inlineStr">
        <is>
          <t>Волшебная мечта хозяюшки "Медовые соты"</t>
        </is>
      </c>
      <c r="I70" s="3" t="n"/>
      <c r="J70" s="3" t="inlineStr">
        <is>
          <t>autofilled from 03_Objects by Codex</t>
        </is>
      </c>
    </row>
    <row r="71" ht="45" customHeight="1">
      <c r="A71" s="1" t="n">
        <v>10</v>
      </c>
      <c r="B71" s="1" t="n">
        <v>6</v>
      </c>
      <c r="C71" s="2" t="n">
        <v>5000</v>
      </c>
      <c r="D71" s="2" t="inlineStr">
        <is>
          <t>Adventure_GR_4</t>
        </is>
      </c>
      <c r="E71" s="2" t="inlineStr">
        <is>
          <t>asset=Adventure_4_Box_3:1+asset=Pet17_Adventure_4_10:1</t>
        </is>
      </c>
      <c r="F71" s="2" t="inlineStr">
        <is>
          <t>Коробка с подарками</t>
        </is>
      </c>
      <c r="G71" s="2" t="inlineStr">
        <is>
          <t>Коробка содержит: 50 Фоминок, 4 бустера для мгновенной уборки мусора со всех горшков, 20 оживителей, 20 ускорителей, 30 жетонов.\nСупер-приз кроха "Мишутка" за достижение последней отметки</t>
        </is>
      </c>
      <c r="H71" s="2" t="inlineStr">
        <is>
          <t>Коробка с подарками + Кроха Мишутка</t>
        </is>
      </c>
      <c r="I71" s="3" t="n"/>
      <c r="J71" s="3" t="inlineStr">
        <is>
          <t>autofilled from 03_Objects by Codex</t>
        </is>
      </c>
    </row>
    <row r="72">
      <c r="A72" s="1" t="n">
        <v>11</v>
      </c>
      <c r="B72" s="1" t="n">
        <v>0</v>
      </c>
      <c r="C72" s="2" t="n">
        <v>500</v>
      </c>
      <c r="D72" s="2" t="inlineStr">
        <is>
          <t>Adventure_GR_4</t>
        </is>
      </c>
      <c r="E72" s="2" t="inlineStr">
        <is>
          <t>asset=Adventure_4_11_Reward_1:1</t>
        </is>
      </c>
      <c r="F72" s="2" t="inlineStr">
        <is>
          <t>Декор "Пылающее кресло"</t>
        </is>
      </c>
      <c r="G72" s="2" t="inlineStr">
        <is>
          <t>Идея высший класс, маскировка медведя под пчелку!</t>
        </is>
      </c>
      <c r="H72" s="2" t="inlineStr">
        <is>
          <t>Декор "Пылающее кресло"</t>
        </is>
      </c>
      <c r="I72" s="3" t="n"/>
      <c r="J72" s="3" t="inlineStr">
        <is>
          <t>autofilled from 03_Objects by Codex</t>
        </is>
      </c>
    </row>
    <row r="73" ht="30" customHeight="1">
      <c r="A73" s="1" t="n">
        <v>11</v>
      </c>
      <c r="B73" s="1" t="n">
        <v>1</v>
      </c>
      <c r="C73" s="2" t="n">
        <v>1100</v>
      </c>
      <c r="D73" s="2" t="inlineStr">
        <is>
          <t>Adventure_GR_4</t>
        </is>
      </c>
      <c r="E73" s="2" t="inlineStr">
        <is>
          <t>asset=DomovoySpeedModifier_12h:1</t>
        </is>
      </c>
      <c r="F73" s="2" t="inlineStr">
        <is>
          <t>Чары "Шустрик"</t>
        </is>
      </c>
      <c r="G73" s="2" t="inlineStr">
        <is>
          <t>Увеличивает скорость передвижения домовёнка. Рекомендуется применять, если дел много, а времени мало. Действует 12 часов.</t>
        </is>
      </c>
      <c r="H73" s="2" t="inlineStr">
        <is>
          <t>Чары "Шустрик"</t>
        </is>
      </c>
      <c r="I73" s="3" t="n"/>
      <c r="J73" s="3" t="inlineStr">
        <is>
          <t>autofilled from 03_Objects by Codex</t>
        </is>
      </c>
    </row>
    <row r="74">
      <c r="A74" s="1" t="n">
        <v>11</v>
      </c>
      <c r="B74" s="1" t="n">
        <v>2</v>
      </c>
      <c r="C74" s="2" t="n">
        <v>1800</v>
      </c>
      <c r="D74" s="2" t="inlineStr">
        <is>
          <t>Adventure_GR_4</t>
        </is>
      </c>
      <c r="E74" s="2" t="inlineStr">
        <is>
          <t>asset=Adventure_4_Box_1:1</t>
        </is>
      </c>
      <c r="F74" s="2" t="inlineStr">
        <is>
          <t>Коробка с подарками</t>
        </is>
      </c>
      <c r="G74" s="2" t="inlineStr">
        <is>
          <t>Содержит 20 Фоминок и волшебную синюю жабу, дающую грошики раз в день.</t>
        </is>
      </c>
      <c r="H74" s="2" t="inlineStr">
        <is>
          <t>Коробка с подарками</t>
        </is>
      </c>
      <c r="I74" s="3" t="n"/>
      <c r="J74" s="3" t="inlineStr">
        <is>
          <t>autofilled from 03_Objects by Codex</t>
        </is>
      </c>
    </row>
    <row r="75">
      <c r="A75" s="1" t="n">
        <v>11</v>
      </c>
      <c r="B75" s="1" t="n">
        <v>3</v>
      </c>
      <c r="C75" s="2" t="n">
        <v>2500</v>
      </c>
      <c r="D75" s="2" t="inlineStr">
        <is>
          <t>Adventure_GR_4</t>
        </is>
      </c>
      <c r="E75" s="2" t="inlineStr">
        <is>
          <t>asset=Adventure_4_11_Pot_Multi_1:1</t>
        </is>
      </c>
      <c r="F75" s="2" t="inlineStr">
        <is>
          <t>Мечта хозяюшки "Снежная королева"</t>
        </is>
      </c>
      <c r="G75" s="2" t="inlineStr">
        <is>
          <t>Горшочек сочный любимый. Выращивай в нём по 5 цветов за раз!</t>
        </is>
      </c>
      <c r="H75" s="2" t="inlineStr">
        <is>
          <t>Мечта хозяюшки "Снежная королева"</t>
        </is>
      </c>
      <c r="I75" s="3" t="n"/>
      <c r="J75" s="3" t="inlineStr">
        <is>
          <t>autofilled from 03_Objects by Codex</t>
        </is>
      </c>
    </row>
    <row r="76" ht="30" customHeight="1">
      <c r="A76" s="1" t="n">
        <v>11</v>
      </c>
      <c r="B76" s="1" t="n">
        <v>4</v>
      </c>
      <c r="C76" s="2" t="n">
        <v>3300</v>
      </c>
      <c r="D76" s="2" t="inlineStr">
        <is>
          <t>Adventure_GR_4</t>
        </is>
      </c>
      <c r="E76" s="2" t="inlineStr">
        <is>
          <t>asset=Adventure_4_Box_2:1</t>
        </is>
      </c>
      <c r="F76" s="2" t="inlineStr">
        <is>
          <t>Коробка с подарками</t>
        </is>
      </c>
      <c r="G76" s="2" t="inlineStr">
        <is>
          <t>Содержит: 30 Фоминок, 2 бустера для мгновенной уборки мусора со всех горшков, 15 оживителей, 15 ускорителей, 20 жетонов</t>
        </is>
      </c>
      <c r="H76" s="2" t="inlineStr">
        <is>
          <t>Коробка с подарками</t>
        </is>
      </c>
      <c r="I76" s="3" t="n"/>
      <c r="J76" s="3" t="inlineStr">
        <is>
          <t>autofilled from 03_Objects by Codex</t>
        </is>
      </c>
    </row>
    <row r="77" ht="30" customHeight="1">
      <c r="A77" s="1" t="n">
        <v>11</v>
      </c>
      <c r="B77" s="1" t="n">
        <v>5</v>
      </c>
      <c r="C77" s="2" t="n">
        <v>4100</v>
      </c>
      <c r="D77" s="2" t="inlineStr">
        <is>
          <t>Adventure_GR_4</t>
        </is>
      </c>
      <c r="E77" s="2" t="inlineStr">
        <is>
          <t>asset=Adventure_4_11_Pot_Multi_Magic:1</t>
        </is>
      </c>
      <c r="F77" s="2" t="inlineStr">
        <is>
          <t>Волшебная мечта хозяюшки "Ледяная корона"</t>
        </is>
      </c>
      <c r="G77" s="2" t="inlineStr">
        <is>
          <t>Созданый трудолюбивыми пчелками горшочек! Выращивай сразу 5 волшебных цветочков!</t>
        </is>
      </c>
      <c r="H77" s="2" t="inlineStr">
        <is>
          <t>Волшебная мечта хозяюшки "Ледяная корона"</t>
        </is>
      </c>
      <c r="I77" s="3" t="n"/>
      <c r="J77" s="3" t="inlineStr">
        <is>
          <t>autofilled from 03_Objects by Codex</t>
        </is>
      </c>
    </row>
    <row r="78" ht="45" customHeight="1">
      <c r="A78" s="1" t="n">
        <v>11</v>
      </c>
      <c r="B78" s="1" t="n">
        <v>6</v>
      </c>
      <c r="C78" s="2" t="n">
        <v>5000</v>
      </c>
      <c r="D78" s="2" t="inlineStr">
        <is>
          <t>Adventure_GR_4</t>
        </is>
      </c>
      <c r="E78" s="2" t="inlineStr">
        <is>
          <t>asset=Adventure_4_Box_3:1+asset=Pet17_Adventure_4_11:1</t>
        </is>
      </c>
      <c r="F78" s="2" t="inlineStr">
        <is>
          <t>Коробка с подарками</t>
        </is>
      </c>
      <c r="G78" s="2" t="inlineStr">
        <is>
          <t>Коробка содержит: 50 Фоминок, 4 бустера для мгновенной уборки мусора со всех горшков, 20 оживителей, 20 ускорителей, 30 жетонов.\nСупер-приз кроха "Хомячок" за достижение последней отметки</t>
        </is>
      </c>
      <c r="H78" s="2" t="inlineStr">
        <is>
          <t>Коробка с подарками + Кроха Хомячок</t>
        </is>
      </c>
      <c r="I78" s="3" t="n"/>
      <c r="J78" s="3" t="inlineStr">
        <is>
          <t>autofilled from 03_Objects by Codex</t>
        </is>
      </c>
    </row>
    <row r="79">
      <c r="A79" s="1" t="n">
        <v>12</v>
      </c>
      <c r="B79" s="1" t="n">
        <v>0</v>
      </c>
      <c r="C79" s="2" t="n">
        <v>500</v>
      </c>
      <c r="D79" s="2" t="inlineStr">
        <is>
          <t>Adventure_GR_4</t>
        </is>
      </c>
      <c r="E79" s="2" t="inlineStr">
        <is>
          <t>asset=Adventure_4_12_Reward_1:1</t>
        </is>
      </c>
      <c r="F79" s="2" t="inlineStr">
        <is>
          <t>Декор "Морковный сюрприз"</t>
        </is>
      </c>
      <c r="G79" s="2" t="inlineStr">
        <is>
          <t>Прямо с грядочки для выших улыбок!</t>
        </is>
      </c>
      <c r="H79" s="2" t="inlineStr">
        <is>
          <t>Декор "Морковный сюрприз"</t>
        </is>
      </c>
      <c r="I79" s="3" t="n"/>
      <c r="J79" s="3" t="inlineStr">
        <is>
          <t>autofilled from 03_Objects by Codex</t>
        </is>
      </c>
    </row>
    <row r="80" ht="30" customHeight="1">
      <c r="A80" s="1" t="n">
        <v>12</v>
      </c>
      <c r="B80" s="1" t="n">
        <v>1</v>
      </c>
      <c r="C80" s="2" t="n">
        <v>1100</v>
      </c>
      <c r="D80" s="2" t="inlineStr">
        <is>
          <t>Adventure_GR_4</t>
        </is>
      </c>
      <c r="E80" s="2" t="inlineStr">
        <is>
          <t>asset=DomovoySpeedModifier_12h:1</t>
        </is>
      </c>
      <c r="F80" s="2" t="inlineStr">
        <is>
          <t>Чары "Шустрик"</t>
        </is>
      </c>
      <c r="G80" s="2" t="inlineStr">
        <is>
          <t>Увеличивает скорость передвижения домовёнка. Рекомендуется применять, если дел много, а времени мало. Действует 12 часов.</t>
        </is>
      </c>
      <c r="H80" s="2" t="inlineStr">
        <is>
          <t>Чары "Шустрик"</t>
        </is>
      </c>
      <c r="I80" s="3" t="n"/>
      <c r="J80" s="3" t="inlineStr">
        <is>
          <t>autofilled from 03_Objects by Codex</t>
        </is>
      </c>
    </row>
    <row r="81">
      <c r="A81" s="1" t="n">
        <v>12</v>
      </c>
      <c r="B81" s="1" t="n">
        <v>2</v>
      </c>
      <c r="C81" s="2" t="n">
        <v>1800</v>
      </c>
      <c r="D81" s="2" t="inlineStr">
        <is>
          <t>Adventure_GR_4</t>
        </is>
      </c>
      <c r="E81" s="2" t="inlineStr">
        <is>
          <t>asset=Adventure_4_Box_1:1</t>
        </is>
      </c>
      <c r="F81" s="2" t="inlineStr">
        <is>
          <t>Коробка с подарками</t>
        </is>
      </c>
      <c r="G81" s="2" t="inlineStr">
        <is>
          <t>Содержит 20 Фоминок и волшебную синюю жабу, дающую грошики раз в день.</t>
        </is>
      </c>
      <c r="H81" s="2" t="inlineStr">
        <is>
          <t>Коробка с подарками</t>
        </is>
      </c>
      <c r="I81" s="3" t="n"/>
      <c r="J81" s="3" t="inlineStr">
        <is>
          <t>autofilled from 03_Objects by Codex</t>
        </is>
      </c>
    </row>
    <row r="82">
      <c r="A82" s="1" t="n">
        <v>12</v>
      </c>
      <c r="B82" s="1" t="n">
        <v>3</v>
      </c>
      <c r="C82" s="2" t="n">
        <v>2500</v>
      </c>
      <c r="D82" s="2" t="inlineStr">
        <is>
          <t>Adventure_GR_4</t>
        </is>
      </c>
      <c r="E82" s="2" t="inlineStr">
        <is>
          <t>asset=Adventure_4_12_Pot_Multi_1:1</t>
        </is>
      </c>
      <c r="F82" s="2" t="inlineStr">
        <is>
          <t>Мечта хозяюшки "Зайчушкина избушка"</t>
        </is>
      </c>
      <c r="G82" s="2" t="inlineStr">
        <is>
          <t>Горшочек сочный любимый. Выращивай в нём по 5 цветов за раз!</t>
        </is>
      </c>
      <c r="H82" s="2" t="inlineStr">
        <is>
          <t>Мечта хозяюшки "Зайчушкина избушка"</t>
        </is>
      </c>
      <c r="I82" s="3" t="n"/>
      <c r="J82" s="3" t="inlineStr">
        <is>
          <t>autofilled from 03_Objects by Codex</t>
        </is>
      </c>
    </row>
    <row r="83" ht="30" customHeight="1">
      <c r="A83" s="1" t="n">
        <v>12</v>
      </c>
      <c r="B83" s="1" t="n">
        <v>4</v>
      </c>
      <c r="C83" s="2" t="n">
        <v>3300</v>
      </c>
      <c r="D83" s="2" t="inlineStr">
        <is>
          <t>Adventure_GR_4</t>
        </is>
      </c>
      <c r="E83" s="2" t="inlineStr">
        <is>
          <t>asset=Adventure_4_Box_2:1</t>
        </is>
      </c>
      <c r="F83" s="2" t="inlineStr">
        <is>
          <t>Коробка с подарками</t>
        </is>
      </c>
      <c r="G83" s="2" t="inlineStr">
        <is>
          <t>Содержит: 30 Фоминок, 2 бустера для мгновенной уборки мусора со всех горшков, 15 оживителей, 15 ускорителей, 20 жетонов</t>
        </is>
      </c>
      <c r="H83" s="2" t="inlineStr">
        <is>
          <t>Коробка с подарками</t>
        </is>
      </c>
      <c r="I83" s="3" t="n"/>
      <c r="J83" s="3" t="inlineStr">
        <is>
          <t>autofilled from 03_Objects by Codex</t>
        </is>
      </c>
    </row>
    <row r="84" ht="30" customHeight="1">
      <c r="A84" s="1" t="n">
        <v>12</v>
      </c>
      <c r="B84" s="1" t="n">
        <v>5</v>
      </c>
      <c r="C84" s="2" t="n">
        <v>4100</v>
      </c>
      <c r="D84" s="2" t="inlineStr">
        <is>
          <t>Adventure_GR_4</t>
        </is>
      </c>
      <c r="E84" s="2" t="inlineStr">
        <is>
          <t>asset=Adventure_4_12_Pot_Multi_Magic:1</t>
        </is>
      </c>
      <c r="F84" s="2" t="inlineStr">
        <is>
          <t>Волшебная мечта хозяюшки "Морковный домик"</t>
        </is>
      </c>
      <c r="G84" s="2" t="inlineStr">
        <is>
          <t>И вкусно и питательно и доступное жильё! Выращивай сразу 5 волшебных цветочков!</t>
        </is>
      </c>
      <c r="H84" s="2" t="inlineStr">
        <is>
          <t>Волшебная мечта хозяюшки "Морковный домик"</t>
        </is>
      </c>
      <c r="I84" s="3" t="n"/>
      <c r="J84" s="3" t="inlineStr">
        <is>
          <t>autofilled from 03_Objects by Codex</t>
        </is>
      </c>
    </row>
    <row r="85" ht="45" customHeight="1">
      <c r="A85" s="1" t="n">
        <v>12</v>
      </c>
      <c r="B85" s="1" t="n">
        <v>6</v>
      </c>
      <c r="C85" s="2" t="n">
        <v>5000</v>
      </c>
      <c r="D85" s="2" t="inlineStr">
        <is>
          <t>Adventure_GR_4</t>
        </is>
      </c>
      <c r="E85" s="2" t="inlineStr">
        <is>
          <t>asset=Adventure_4_Box_3:1+asset=Pet17_Adventure_4_12:1</t>
        </is>
      </c>
      <c r="F85" s="2" t="inlineStr">
        <is>
          <t>Коробка с подарками</t>
        </is>
      </c>
      <c r="G85" s="2" t="inlineStr">
        <is>
          <t>Коробка содержит: 50 Фоминок, 4 бустера для мгновенной уборки мусора со всех горшков, 20 оживителей, 20 ускорителей, 30 жетонов.\nСупер-приз кроха "Зайчик" за достижение последней отметки</t>
        </is>
      </c>
      <c r="H85" s="2" t="inlineStr">
        <is>
          <t>Коробка с подарками + Кроха Зайчик</t>
        </is>
      </c>
      <c r="I85" s="3" t="n"/>
      <c r="J85" s="3" t="inlineStr">
        <is>
          <t>autofilled from 03_Objects by Codex</t>
        </is>
      </c>
    </row>
  </sheetData>
  <autoFilter ref="A1:J85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 ht="17.25" customHeight="1">
      <c r="A1" s="5" t="inlineStr">
        <is>
          <t>Adventure master brief: упрощённая версия</t>
        </is>
      </c>
    </row>
    <row r="2">
      <c r="A2" s="5" t="n"/>
    </row>
    <row r="3" ht="30" customHeight="1">
      <c r="A3" s="5" t="inlineStr">
        <is>
          <t>Основная ручная вкладка: 01_Паки. Здесь заполняются new_prefix, main_resource, event_title_ru, quest_group_title, duration_text/source_reference при необходимости, Последний id proto и Последний id task.</t>
        </is>
      </c>
    </row>
    <row r="4">
      <c r="A4" s="5" t="inlineStr">
        <is>
          <t>03_Объекты остаётся ручной рабочей вкладкой для названий, описаний, цен, subgroup и extra_json_or_notes.</t>
        </is>
      </c>
    </row>
    <row r="5">
      <c r="A5" s="5" t="inlineStr">
        <is>
          <t>02_Замены и 04_Квесты получают технические identifier/replace формулами из 01_Паки.</t>
        </is>
      </c>
    </row>
    <row r="6">
      <c r="A6" s="5" t="inlineStr">
        <is>
          <t>05_Награды можно заполнять автоматически по объектам и вручную править текст, если нужно.</t>
        </is>
      </c>
    </row>
    <row r="7">
      <c r="A7" s="5" t="inlineStr">
        <is>
          <t>06_Экономика, 07_Выходные файлы и 08_Чеклист удалены: в текущем workflow они не участвовали в итоговой сборке.</t>
        </is>
      </c>
    </row>
    <row r="8">
      <c r="A8" s="5" t="n"/>
    </row>
    <row r="9">
      <c r="A9" s="5" t="inlineStr">
        <is>
          <t>ID logic:</t>
        </is>
      </c>
    </row>
    <row r="10">
      <c r="A10" s="5" t="inlineStr">
        <is>
          <t>Последний id proto = последний уже занятый числовой proto id. Достаточно заполнить один раз в любой строке pack-таблицы; генератор протянет цепочку по всем pack.</t>
        </is>
      </c>
    </row>
    <row r="11" ht="30" customHeight="1">
      <c r="A11" s="5" t="inlineStr">
        <is>
          <t>Последний id task = последний уже занятый task identifier, например e8697. Достаточно заполнить один раз; в каждом quest.xlsx сначала получат id 6 обычных tasks.0.identifier, затем 7 rewards quest tasks.</t>
        </is>
      </c>
    </row>
    <row r="21" ht="15.75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sheetData>
    <row r="1" ht="33.95" customHeight="1">
      <c r="A1" s="5" t="inlineStr">
        <is>
          <t>status</t>
        </is>
      </c>
      <c r="B1" s="5" t="inlineStr">
        <is>
          <t>yes_no</t>
        </is>
      </c>
      <c r="C1" s="5" t="inlineStr">
        <is>
          <t>entity_kind</t>
        </is>
      </c>
    </row>
    <row r="2" ht="30" customHeight="1">
      <c r="A2" s="5" t="inlineStr">
        <is>
          <t>заполнить</t>
        </is>
      </c>
      <c r="B2" s="5" t="inlineStr">
        <is>
          <t>да</t>
        </is>
      </c>
      <c r="C2" s="5" t="inlineStr">
        <is>
          <t>main_resource</t>
        </is>
      </c>
    </row>
    <row r="3" ht="60" customHeight="1">
      <c r="A3" s="5" t="inlineStr">
        <is>
          <t>готово для генерации</t>
        </is>
      </c>
      <c r="B3" s="5" t="inlineStr">
        <is>
          <t>нет</t>
        </is>
      </c>
      <c r="C3" s="5" t="inlineStr">
        <is>
          <t>pet</t>
        </is>
      </c>
    </row>
    <row r="4" ht="30" customHeight="1">
      <c r="A4" s="5" t="inlineStr">
        <is>
          <t>сгенерировано</t>
        </is>
      </c>
      <c r="C4" s="5" t="inlineStr">
        <is>
          <t>collection_item</t>
        </is>
      </c>
    </row>
    <row r="5" ht="30" customHeight="1">
      <c r="A5" s="5" t="inlineStr">
        <is>
          <t>проверено</t>
        </is>
      </c>
      <c r="C5" s="5" t="inlineStr">
        <is>
          <t>furniture</t>
        </is>
      </c>
    </row>
    <row r="6" ht="45" customHeight="1">
      <c r="A6" s="5" t="inlineStr">
        <is>
          <t>не используется</t>
        </is>
      </c>
      <c r="C6" s="5" t="inlineStr">
        <is>
          <t>pot_multi</t>
        </is>
      </c>
    </row>
    <row r="7" ht="30" customHeight="1">
      <c r="C7" s="5" t="inlineStr">
        <is>
          <t>pot_multi_magic</t>
        </is>
      </c>
    </row>
    <row r="8">
      <c r="C8" s="5" t="inlineStr">
        <is>
          <t>trophy</t>
        </is>
      </c>
    </row>
    <row r="9">
      <c r="C9" s="5" t="inlineStr">
        <is>
          <t>box_1</t>
        </is>
      </c>
    </row>
    <row r="10">
      <c r="C10" s="5" t="inlineStr">
        <is>
          <t>box_2</t>
        </is>
      </c>
    </row>
    <row r="11">
      <c r="C11" s="5" t="inlineStr">
        <is>
          <t>box_3</t>
        </is>
      </c>
    </row>
    <row r="12">
      <c r="C12" s="5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2026-07-29T08:10:45Z</dcterms:created>
  <dcterms:modified xmlns:dcterms="http://purl.org/dc/terms/" xmlns:xsi="http://www.w3.org/2001/XMLSchema-instance" xsi:type="dcterms:W3CDTF">2026-08-05T06:07:03Z</dcterms:modified>
  <cp:lastModifiedBy>user</cp:lastModifiedBy>
</cp:coreProperties>
</file>