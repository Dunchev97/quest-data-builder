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16200" windowWidth="22260" windowHeight="12645" tabRatio="591"/>
  </bookViews>
  <sheets>
    <sheet name="conf" sheetId="6" r:id="rId1"/>
    <sheet name="Способы" sheetId="7" r:id="rId2"/>
    <sheet name="Значения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C18" i="7" l="1"/>
  <c r="C13" i="7"/>
  <c r="C12" i="7"/>
  <c r="C11" i="7"/>
  <c r="C5" i="7"/>
  <c r="C4" i="7"/>
</calcChain>
</file>

<file path=xl/sharedStrings.xml><?xml version="1.0" encoding="utf-8"?>
<sst xmlns="http://schemas.openxmlformats.org/spreadsheetml/2006/main" count="477" uniqueCount="187">
  <si>
    <t>classname</t>
  </si>
  <si>
    <t>Fun11_Restoration_Generator</t>
  </si>
  <si>
    <t>/src/Fun10_Restoration_Generator.proto.js</t>
  </si>
  <si>
    <t>title</t>
  </si>
  <si>
    <t>Что то там</t>
  </si>
  <si>
    <t>id</t>
  </si>
  <si>
    <t>Fun11_Restoration_Generator_2</t>
  </si>
  <si>
    <t>input</t>
  </si>
  <si>
    <t>output</t>
  </si>
  <si>
    <t>extra.stages.0.reward.one_of</t>
  </si>
  <si>
    <t>p</t>
  </si>
  <si>
    <t>asset</t>
  </si>
  <si>
    <t>amount</t>
  </si>
  <si>
    <t>string</t>
  </si>
  <si>
    <t>int</t>
  </si>
  <si>
    <t>temp_01</t>
  </si>
  <si>
    <t>array_of_objects</t>
  </si>
  <si>
    <t>Fun10_Restoration_1_1</t>
  </si>
  <si>
    <t>Fun10_Restoration_1_2</t>
  </si>
  <si>
    <t>Fun10_Restoration_1_3</t>
  </si>
  <si>
    <t>temp_02</t>
  </si>
  <si>
    <t>tags</t>
  </si>
  <si>
    <t>home</t>
  </si>
  <si>
    <t>build_new_home</t>
  </si>
  <si>
    <t>array</t>
  </si>
  <si>
    <t>Fun11_Restoration_Generator_3</t>
  </si>
  <si>
    <t>Fun11_Restoration_Generator_1</t>
  </si>
  <si>
    <t>Fun11_Restoration_Generator_4</t>
  </si>
  <si>
    <t>Fun11_Restoration_Generator_5</t>
  </si>
  <si>
    <t>extra</t>
  </si>
  <si>
    <t>object</t>
  </si>
  <si>
    <t>array_of_values</t>
  </si>
  <si>
    <t>hide_tool_tip</t>
  </si>
  <si>
    <t>is_hide_description</t>
  </si>
  <si>
    <t>window_skin</t>
  </si>
  <si>
    <t>description_window</t>
  </si>
  <si>
    <t>reward_description</t>
  </si>
  <si>
    <t>instruction_title</t>
  </si>
  <si>
    <t>tile_till_window</t>
  </si>
  <si>
    <t>open_btn_window</t>
  </si>
  <si>
    <t>open_now_btn_window</t>
  </si>
  <si>
    <t>open_btn_bgr_color</t>
  </si>
  <si>
    <t>open_btn_tf_color</t>
  </si>
  <si>
    <t>Fun11_FunCollection_1_Window</t>
  </si>
  <si>
    <t>Используй "Набор отмычек" чтобы открыть сундук сокровищ Камелота, в нём ты найдёшь одно из 10-ти сокровищ.</t>
  </si>
  <si>
    <t>Собирай Сокровища Камелота, вскрывая отмычками Сундук сокровищ Камелота дома и в гостях.</t>
  </si>
  <si>
    <t>ВНИМАНИЕ! Одна попытка вскрыть замок только раз в 1 час 30 минут!</t>
  </si>
  <si>
    <t>Можно вскрыть через:</t>
  </si>
  <si>
    <t>Вскрыть</t>
  </si>
  <si>
    <t>Вскрыть сейчас за {price}</t>
  </si>
  <si>
    <t>extra.resource</t>
  </si>
  <si>
    <t>Fun11_Exchanger_RG_1</t>
  </si>
  <si>
    <t>Fun11_Exchanger_RG_2</t>
  </si>
  <si>
    <t>Fun11_Exchanger_RG_3</t>
  </si>
  <si>
    <t>Fun11_Exchanger_RG_4</t>
  </si>
  <si>
    <t>Fun11_Exchanger_RG_5</t>
  </si>
  <si>
    <t>description</t>
  </si>
  <si>
    <t>meta_info</t>
  </si>
  <si>
    <t>ignore</t>
  </si>
  <si>
    <t>reward</t>
  </si>
  <si>
    <t>price</t>
  </si>
  <si>
    <t>Количество ассетов</t>
  </si>
  <si>
    <t>stuff_icon</t>
  </si>
  <si>
    <t>/quest_item/Fun/Fun10/Fun10_FunCollection_1_CL_1.proto.js</t>
  </si>
  <si>
    <t>file_name</t>
  </si>
  <si>
    <t>actions</t>
  </si>
  <si>
    <t>location_tags</t>
  </si>
  <si>
    <t>rand_reward.p</t>
  </si>
  <si>
    <t>rand_reward.asset</t>
  </si>
  <si>
    <t>conditions</t>
  </si>
  <si>
    <t>open_price</t>
  </si>
  <si>
    <t>/quest_item/Fun/Fun12/Fun12_FunCollection_5_CL_1.proto.js</t>
  </si>
  <si>
    <t>Fun12_FunCollection_5_CL_1</t>
  </si>
  <si>
    <t>Жемчужина чистоты</t>
  </si>
  <si>
    <t>Можно получить из Сокровищницы Стража</t>
  </si>
  <si>
    <t>/quest_item/Fun/Fun12/Fun12_FunCollection_5_CL_2.proto.js</t>
  </si>
  <si>
    <t>Fun12_FunCollection_5_CL_2</t>
  </si>
  <si>
    <t>Жемчужина величия</t>
  </si>
  <si>
    <t>/quest_item/Fun/Fun12/Fun12_FunCollection_5_CL_3.proto.js</t>
  </si>
  <si>
    <t>Fun12_FunCollection_5_CL_3</t>
  </si>
  <si>
    <t>Жемчужина пробуждения</t>
  </si>
  <si>
    <t>/quest_item/Fun/Fun12/Fun12_FunCollection_5_CL_4.proto.js</t>
  </si>
  <si>
    <t>Fun12_FunCollection_5_CL_4</t>
  </si>
  <si>
    <t>Жемчужина познания</t>
  </si>
  <si>
    <t>/quest_item/Fun/Fun12/Fun12_FunCollection_5_CL_5.proto.js</t>
  </si>
  <si>
    <t>Fun12_FunCollection_5_CL_5</t>
  </si>
  <si>
    <t>Пылающая жемчужина</t>
  </si>
  <si>
    <t>/quest_item/Fun/Fun12/Fun12_FunCollection_5_CL_6.proto.js</t>
  </si>
  <si>
    <t>Fun12_FunCollection_5_CL_6</t>
  </si>
  <si>
    <t>Таинственная жемчужина</t>
  </si>
  <si>
    <t>/quest_item/Fun/Fun12/Fun12_FunCollection_5_CL_7.proto.js</t>
  </si>
  <si>
    <t>Fun12_FunCollection_5_CL_7</t>
  </si>
  <si>
    <t>Жемчужина стужи</t>
  </si>
  <si>
    <t>/quest_item/Fun/Fun12/Fun12_FunCollection_5_CL_8.proto.js</t>
  </si>
  <si>
    <t>Fun12_FunCollection_5_CL_8</t>
  </si>
  <si>
    <t>Жемчужина глубин</t>
  </si>
  <si>
    <t>/quest_item/Fun/Fun12/Fun12_FunCollection_5_CL_9.proto.js</t>
  </si>
  <si>
    <t>Fun12_FunCollection_5_CL_9</t>
  </si>
  <si>
    <t>Жемчужина маскарада</t>
  </si>
  <si>
    <t>/quest_item/Fun/Fun12/Fun12_FunCollection_5_CL_10.proto.js</t>
  </si>
  <si>
    <t>Fun12_FunCollection_5_CL_10</t>
  </si>
  <si>
    <t>Жемчужина мрака</t>
  </si>
  <si>
    <t>\quest_item\March8_2024\March8_2024_GR_17_FromFriend.proto.js</t>
  </si>
  <si>
    <t>/quest_item/Fun/Fun12/Fun12_FunCollection_5_GR_2_2.proto.js</t>
  </si>
  <si>
    <t>Fun12_FunCollection_5_GR_2_2</t>
  </si>
  <si>
    <t>Сиреневый венец</t>
  </si>
  <si>
    <t>Друг должен вложить Золотые ленты в твою Сокровищницу стража</t>
  </si>
  <si>
    <t>\quest_item\March8_2024\March8_2024_GR_15.proto.js</t>
  </si>
  <si>
    <t>/quest_item/Fun/Fun12/Fun12_FunCollection_5_GR_1.proto.js</t>
  </si>
  <si>
    <t>Fun12_FunCollection_5_GR_1</t>
  </si>
  <si>
    <t>Волшебная сирень</t>
  </si>
  <si>
    <t>Собирай цветы Магии в гостях. Чтобы собрать кликни по горшку с нужным цветком в гостях у друга.</t>
  </si>
  <si>
    <t>pack_asset=Fun12_FunCollection_5_GR_2_2_Package</t>
  </si>
  <si>
    <t>pack_asset=Fun12_FunCollection_5_GR_1_Package</t>
  </si>
  <si>
    <t>transformation_to_other_asset_while_gifting</t>
  </si>
  <si>
    <t>/quest_item/Fun/Fun12/Fun12_FunCollection_5_GR_2_1.proto.js</t>
  </si>
  <si>
    <t>Fun12_FunCollection_5_GR_2_1</t>
  </si>
  <si>
    <t>Золотая лента</t>
  </si>
  <si>
    <t>Убирай мусор Зачарованного сада дома</t>
  </si>
  <si>
    <t>pack_asset=Fun12_FunCollection_5_GR_2_1_Package</t>
  </si>
  <si>
    <t>assets</t>
  </si>
  <si>
    <t>/global_reward/March8_2024\March8_2024_GR_15.proto.js</t>
  </si>
  <si>
    <t>/global_reward/Fun12/Fun12_FunCollection_5_GR_1.proto.js</t>
  </si>
  <si>
    <t>take_crop_in_guest</t>
  </si>
  <si>
    <t>Fun12_FunCollection_GR_1</t>
  </si>
  <si>
    <t>active_quest=Fun12_Tech_Weekly_5</t>
  </si>
  <si>
    <t>MagicFlowerMiracle</t>
  </si>
  <si>
    <t>MultiMagicFlowerMiracle</t>
  </si>
  <si>
    <t>/global_reward/March8_2024\March8_2024_GR_17_ToFriend.proto.js</t>
  </si>
  <si>
    <t>/global_reward/Fun12/Fun12_FunCollection_5_GR_2_1.proto.js</t>
  </si>
  <si>
    <t>clean_garbage</t>
  </si>
  <si>
    <t>Fun12_loc_5</t>
  </si>
  <si>
    <t>Fun12_FunCollection_5_GR_2_2_Package</t>
  </si>
  <si>
    <t>asset=Fun12_FunCollection_5_GR_2_2:3</t>
  </si>
  <si>
    <t>Fun12_FunCollection_5_GR_1_Package</t>
  </si>
  <si>
    <t>asset=Fun12_FunCollection_5_GR_1:2</t>
  </si>
  <si>
    <t>identifier</t>
  </si>
  <si>
    <t>text</t>
  </si>
  <si>
    <t>/post_action/help_March8_2024_Chest_MainBattery.proto.js</t>
  </si>
  <si>
    <t>/post_action/help_Fun12_FunCollection_5.proto.js</t>
  </si>
  <si>
    <t>help_Fun12_FunCollection_5</t>
  </si>
  <si>
    <t>Помоги мне получить Сиреневый венец</t>
  </si>
  <si>
    <t>Просто зайди ко мне и отдай Золотую ленту!</t>
  </si>
  <si>
    <t>extra.window_spec.view_window</t>
  </si>
  <si>
    <t>extra.window_spec.guest_resource</t>
  </si>
  <si>
    <t>extra.window_spec.description</t>
  </si>
  <si>
    <t>extra.window_spec.description_help</t>
  </si>
  <si>
    <t>extra.window_spec.description_time</t>
  </si>
  <si>
    <t>behaviour.0.lock.availability_conditions</t>
  </si>
  <si>
    <t>behaviour.0.lock.text</t>
  </si>
  <si>
    <t>/furniture/March8_2024/March8_2024_Stuff_Charging_MainBattery_Guest.proto.js</t>
  </si>
  <si>
    <t>/furniture/Fun/Fun12/Fun12_FunCollection_5_Guest.proto.js</t>
  </si>
  <si>
    <t>Fun12_FunCollection_5_Guest</t>
  </si>
  <si>
    <t>Сокровищница Стража</t>
  </si>
  <si>
    <t>Fun12_FunCollection_5_Home</t>
  </si>
  <si>
    <t>Fun12_FunCollection_5_Guest_Window</t>
  </si>
  <si>
    <t>Помогая, ты расходуешь 1 Золотую ленту</t>
  </si>
  <si>
    <t>Помоги другу получить Сиреневый венец!\nВложи ему Золотую ленту.</t>
  </si>
  <si>
    <t>Можно помочь через:</t>
  </si>
  <si>
    <t>stuff=March8_2024_Chest_Charging_MainBattery_Home:1+quest_active_or_accomplished=March8_2024_Story11</t>
  </si>
  <si>
    <t>Ранехонько!</t>
  </si>
  <si>
    <t>extra.action_availability_conditions</t>
  </si>
  <si>
    <t>extra.time_till_open_description</t>
  </si>
  <si>
    <t>extra.get_description</t>
  </si>
  <si>
    <t>extra.open_btn</t>
  </si>
  <si>
    <t>/chest/March8_2024/March8_2024_Chest_MainBattery.proto.js</t>
  </si>
  <si>
    <t>/chest/Fun/Fun12/Fun12_FunCollection_5_Unlock.proto.js</t>
  </si>
  <si>
    <t>Fun12_FunCollection_5_Unlock</t>
  </si>
  <si>
    <t>asset=Fun12_FunCollection_GR_1:15</t>
  </si>
  <si>
    <t>Можно сделать подношение через:</t>
  </si>
  <si>
    <t>Для подношения нужно:</t>
  </si>
  <si>
    <t>Сделать подношение</t>
  </si>
  <si>
    <t>Друзья вкладывают Золотые ленты в твою Сокровищницу Стража. Когда наберется нужное количество лент, ты можешь получить Сиреневый венец.</t>
  </si>
  <si>
    <t>behaviour.2.chest_classname</t>
  </si>
  <si>
    <t>extra.post_notifications</t>
  </si>
  <si>
    <t>extra.action_availability_title</t>
  </si>
  <si>
    <t>rand_reward.one_of</t>
  </si>
  <si>
    <t>/chest/March8_2024/March8_2024_Chest_Charging_MainBattery_Home.proto.js</t>
  </si>
  <si>
    <t>/chest/Fun/Fun12/Fun12_FunCollection_5_Home.proto.js</t>
  </si>
  <si>
    <t>asset=Fun12_FunCollection_5_GR_2_2:5</t>
  </si>
  <si>
    <t>Fun12_FunCollection_5_Home_Window</t>
  </si>
  <si>
    <t>chest_ready!=Fun12_FunCollection_5_Unlock+active_quest=Fun12_Tech_Weekly_5</t>
  </si>
  <si>
    <t>Еще не время!</t>
  </si>
  <si>
    <t>/asset_package/Fun/Fun12/Fun12_FunCollection_5_GR_2_2_Package.proto.js</t>
  </si>
  <si>
    <t>/asset_package/Fun/Fun12/Fun12_FunCollection_5_GR_1_Package.proto.js</t>
  </si>
  <si>
    <t>/asset_package/March8_2024/March8_2024_GR_17_FromFriend_Package.proto.js</t>
  </si>
  <si>
    <t>/asset_package/March8_2024/March8_2024_GR_15_Package.proto.js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</si>
</sst>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12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3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0" borderId="1" xfId="0" applyFont="1" applyBorder="1"/>
    <xf numFmtId="0" fontId="0" fillId="3" borderId="12" xfId="0" applyFill="1" applyBorder="1" applyAlignment="1"/>
    <xf numFmtId="0" fontId="1" fillId="0" borderId="2" xfId="0" applyFont="1" applyBorder="1"/>
    <xf numFmtId="0" fontId="1" fillId="0" borderId="10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 vertical="top"/>
    </xf>
    <xf numFmtId="0" fontId="3" fillId="0" borderId="22" xfId="0" applyFont="1" applyBorder="1" applyAlignment="1"/>
    <xf numFmtId="0" fontId="3" fillId="2" borderId="28" xfId="0" applyFont="1" applyFill="1" applyBorder="1" applyAlignment="1"/>
    <xf numFmtId="0" fontId="3" fillId="0" borderId="25" xfId="0" applyFont="1" applyBorder="1" applyAlignment="1"/>
    <xf numFmtId="0" fontId="4" fillId="0" borderId="22" xfId="0" applyFont="1" applyBorder="1" applyAlignment="1">
      <alignment horizontal="right"/>
    </xf>
    <xf numFmtId="0" fontId="3" fillId="0" borderId="30" xfId="0" applyFont="1" applyBorder="1" applyAlignment="1"/>
    <xf numFmtId="0" fontId="5" fillId="0" borderId="36" xfId="0" applyFont="1" applyBorder="1" applyAlignment="1">
      <alignment vertical="center"/>
    </xf>
    <xf numFmtId="0" fontId="3" fillId="9" borderId="31" xfId="0" applyFont="1" applyFill="1" applyBorder="1" applyAlignment="1"/>
    <xf numFmtId="0" fontId="3" fillId="9" borderId="32" xfId="0" applyFont="1" applyFill="1" applyBorder="1" applyAlignment="1"/>
    <xf numFmtId="0" fontId="3" fillId="2" borderId="35" xfId="0" applyFont="1" applyFill="1" applyBorder="1" applyAlignment="1">
      <alignment vertical="center"/>
    </xf>
    <xf numFmtId="0" fontId="3" fillId="0" borderId="28" xfId="0" applyFont="1" applyBorder="1" applyAlignment="1"/>
    <xf numFmtId="0" fontId="4" fillId="0" borderId="28" xfId="0" applyFont="1" applyBorder="1" applyAlignment="1"/>
    <xf numFmtId="0" fontId="4" fillId="0" borderId="35" xfId="0" applyFont="1" applyBorder="1" applyAlignment="1"/>
    <xf numFmtId="0" fontId="3" fillId="9" borderId="37" xfId="0" applyFont="1" applyFill="1" applyBorder="1" applyAlignment="1"/>
    <xf numFmtId="0" fontId="3" fillId="9" borderId="23" xfId="0" applyFont="1" applyFill="1" applyBorder="1" applyAlignment="1"/>
    <xf numFmtId="0" fontId="3" fillId="0" borderId="39" xfId="0" applyFont="1" applyBorder="1" applyAlignment="1"/>
    <xf numFmtId="0" fontId="3" fillId="0" borderId="36" xfId="0" applyFont="1" applyBorder="1" applyAlignment="1"/>
    <xf numFmtId="0" fontId="4" fillId="0" borderId="36" xfId="0" applyFont="1" applyBorder="1" applyAlignment="1"/>
    <xf numFmtId="0" fontId="3" fillId="9" borderId="40" xfId="0" applyFont="1" applyFill="1" applyBorder="1" applyAlignment="1"/>
    <xf numFmtId="0" fontId="3" fillId="9" borderId="41" xfId="0" applyFont="1" applyFill="1" applyBorder="1" applyAlignment="1"/>
    <xf numFmtId="0" fontId="4" fillId="8" borderId="25" xfId="0" applyFont="1" applyFill="1" applyBorder="1" applyAlignment="1"/>
    <xf numFmtId="0" fontId="3" fillId="2" borderId="25" xfId="0" applyFont="1" applyFill="1" applyBorder="1" applyAlignment="1"/>
    <xf numFmtId="0" fontId="3" fillId="2" borderId="38" xfId="0" applyFont="1" applyFill="1" applyBorder="1" applyAlignment="1"/>
    <xf numFmtId="0" fontId="3" fillId="2" borderId="41" xfId="0" applyFont="1" applyFill="1" applyBorder="1" applyAlignment="1"/>
    <xf numFmtId="0" fontId="4" fillId="0" borderId="30" xfId="0" applyFont="1" applyBorder="1" applyAlignment="1">
      <alignment vertical="center"/>
    </xf>
    <xf numFmtId="0" fontId="3" fillId="0" borderId="29" xfId="0" applyFont="1" applyBorder="1" applyAlignment="1"/>
    <xf numFmtId="0" fontId="3" fillId="0" borderId="24" xfId="0" applyFont="1" applyBorder="1" applyAlignment="1"/>
    <xf numFmtId="0" fontId="4" fillId="11" borderId="24" xfId="0" applyFont="1" applyFill="1" applyBorder="1" applyAlignment="1"/>
    <xf numFmtId="0" fontId="3" fillId="0" borderId="24" xfId="0" applyFont="1" applyBorder="1" applyAlignment="1">
      <alignment vertical="top"/>
    </xf>
    <xf numFmtId="0" fontId="4" fillId="11" borderId="22" xfId="0" applyFont="1" applyFill="1" applyBorder="1" applyAlignment="1"/>
    <xf numFmtId="0" fontId="3" fillId="0" borderId="22" xfId="0" applyFont="1" applyBorder="1" applyAlignment="1">
      <alignment vertical="top"/>
    </xf>
    <xf numFmtId="0" fontId="4" fillId="11" borderId="30" xfId="0" applyFont="1" applyFill="1" applyBorder="1" applyAlignment="1"/>
    <xf numFmtId="0" fontId="3" fillId="0" borderId="30" xfId="0" applyFont="1" applyBorder="1" applyAlignment="1">
      <alignment vertical="top"/>
    </xf>
    <xf numFmtId="0" fontId="3" fillId="0" borderId="42" xfId="0" applyFont="1" applyBorder="1" applyAlignment="1"/>
    <xf numFmtId="0" fontId="3" fillId="0" borderId="41" xfId="0" applyFont="1" applyBorder="1" applyAlignment="1"/>
    <xf numFmtId="0" fontId="4" fillId="0" borderId="41" xfId="0" applyFont="1" applyBorder="1" applyAlignment="1"/>
    <xf numFmtId="0" fontId="3" fillId="7" borderId="43" xfId="0" applyFont="1" applyFill="1" applyBorder="1" applyAlignment="1"/>
    <xf numFmtId="0" fontId="3" fillId="2" borderId="34" xfId="0" applyFont="1" applyFill="1" applyBorder="1" applyAlignment="1"/>
    <xf numFmtId="0" fontId="3" fillId="0" borderId="44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9" borderId="46" xfId="0" applyFont="1" applyFill="1" applyBorder="1" applyAlignment="1"/>
    <xf numFmtId="0" fontId="3" fillId="2" borderId="47" xfId="0" applyFont="1" applyFill="1" applyBorder="1" applyAlignment="1"/>
    <xf numFmtId="0" fontId="3" fillId="9" borderId="48" xfId="0" applyFont="1" applyFill="1" applyBorder="1" applyAlignment="1"/>
    <xf numFmtId="0" fontId="3" fillId="9" borderId="49" xfId="0" applyFont="1" applyFill="1" applyBorder="1" applyAlignment="1"/>
    <xf numFmtId="0" fontId="3" fillId="7" borderId="27" xfId="0" applyFont="1" applyFill="1" applyBorder="1" applyAlignment="1"/>
    <xf numFmtId="0" fontId="3" fillId="2" borderId="35" xfId="0" applyFont="1" applyFill="1" applyBorder="1" applyAlignment="1"/>
    <xf numFmtId="0" fontId="4" fillId="11" borderId="50" xfId="0" applyFont="1" applyFill="1" applyBorder="1" applyAlignment="1"/>
    <xf numFmtId="0" fontId="4" fillId="0" borderId="22" xfId="0" applyFont="1" applyBorder="1" applyAlignment="1"/>
    <xf numFmtId="0" fontId="3" fillId="9" borderId="33" xfId="0" applyFont="1" applyFill="1" applyBorder="1" applyAlignment="1"/>
    <xf numFmtId="0" fontId="4" fillId="0" borderId="34" xfId="0" applyFont="1" applyBorder="1" applyAlignment="1"/>
    <xf numFmtId="0" fontId="3" fillId="10" borderId="28" xfId="0" applyFont="1" applyFill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0" fontId="3" fillId="0" borderId="26" xfId="0" applyFont="1" applyBorder="1" applyAlignment="1"/>
    <xf numFmtId="0" fontId="3" fillId="0" borderId="27" xfId="0" applyFont="1" applyBorder="1" applyAlignment="1"/>
    <xf numFmtId="0" fontId="4" fillId="0" borderId="27" xfId="0" applyFont="1" applyBorder="1" applyAlignment="1"/>
    <xf numFmtId="0" fontId="5" fillId="0" borderId="27" xfId="0" applyFont="1" applyBorder="1" applyAlignment="1">
      <alignment horizontal="right"/>
    </xf>
    <xf numFmtId="0" fontId="5" fillId="0" borderId="27" xfId="0" applyFont="1" applyBorder="1" applyAlignment="1"/>
    <xf numFmtId="0" fontId="4" fillId="0" borderId="57" xfId="0" applyFont="1" applyBorder="1" applyAlignment="1"/>
    <xf numFmtId="0" fontId="4" fillId="11" borderId="34" xfId="0" applyFont="1" applyFill="1" applyBorder="1" applyAlignment="1"/>
    <xf numFmtId="0" fontId="3" fillId="7" borderId="26" xfId="0" applyFont="1" applyFill="1" applyBorder="1" applyAlignment="1"/>
    <xf numFmtId="0" fontId="4" fillId="0" borderId="38" xfId="0" applyFont="1" applyBorder="1" applyAlignment="1"/>
    <xf numFmtId="0" fontId="3" fillId="0" borderId="38" xfId="0" applyFont="1" applyBorder="1" applyAlignment="1"/>
    <xf numFmtId="0" fontId="3" fillId="0" borderId="49" xfId="0" applyFont="1" applyBorder="1" applyAlignment="1"/>
    <xf numFmtId="0" fontId="4" fillId="0" borderId="49" xfId="0" applyFont="1" applyBorder="1" applyAlignment="1"/>
    <xf numFmtId="0" fontId="3" fillId="9" borderId="58" xfId="0" applyFont="1" applyFill="1" applyBorder="1" applyAlignment="1"/>
    <xf numFmtId="0" fontId="3" fillId="9" borderId="59" xfId="0" applyFont="1" applyFill="1" applyBorder="1" applyAlignment="1"/>
    <xf numFmtId="0" fontId="3" fillId="9" borderId="60" xfId="0" applyFont="1" applyFill="1" applyBorder="1" applyAlignment="1"/>
    <xf numFmtId="0" fontId="4" fillId="0" borderId="50" xfId="0" applyFont="1" applyBorder="1" applyAlignment="1"/>
    <xf numFmtId="0" fontId="3" fillId="10" borderId="41" xfId="0" applyFont="1" applyFill="1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4" fillId="12" borderId="22" xfId="0" applyFont="1" applyFill="1" applyBorder="1" applyAlignment="1">
      <alignment horizontal="right"/>
    </xf>
    <xf numFmtId="0" fontId="4" fillId="12" borderId="22" xfId="0" applyFont="1" applyFill="1" applyBorder="1" applyAlignment="1"/>
    <xf numFmtId="0" fontId="4" fillId="0" borderId="22" xfId="0" applyFont="1" applyBorder="1" applyAlignment="1">
      <alignment vertical="center"/>
    </xf>
    <xf numFmtId="0" fontId="5" fillId="0" borderId="30" xfId="0" applyFont="1" applyBorder="1" applyAlignment="1"/>
    <xf numFmtId="0" fontId="3" fillId="9" borderId="61" xfId="0" applyFont="1" applyFill="1" applyBorder="1" applyAlignment="1"/>
    <xf numFmtId="0" fontId="4" fillId="0" borderId="62" xfId="0" applyFont="1" applyBorder="1" applyAlignment="1"/>
    <xf numFmtId="0" fontId="4" fillId="11" borderId="63" xfId="0" applyFont="1" applyFill="1" applyBorder="1" applyAlignment="1"/>
    <xf numFmtId="0" fontId="4" fillId="0" borderId="63" xfId="0" applyFont="1" applyBorder="1" applyAlignment="1"/>
    <xf numFmtId="0" fontId="3" fillId="12" borderId="28" xfId="0" applyFont="1" applyFill="1" applyBorder="1" applyAlignment="1">
      <alignment horizontal="right"/>
    </xf>
    <xf numFmtId="0" fontId="4" fillId="0" borderId="45" xfId="0" applyFont="1" applyBorder="1" applyAlignment="1"/>
    <xf numFmtId="0" fontId="3" fillId="9" borderId="53" xfId="0" applyFont="1" applyFill="1" applyBorder="1" applyAlignment="1">
      <alignment horizontal="center"/>
    </xf>
    <xf numFmtId="0" fontId="3" fillId="9" borderId="51" xfId="0" applyFont="1" applyFill="1" applyBorder="1" applyAlignment="1">
      <alignment horizontal="center"/>
    </xf>
    <xf numFmtId="0" fontId="3" fillId="9" borderId="52" xfId="0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top"/>
    </xf>
    <xf numFmtId="0" fontId="3" fillId="2" borderId="55" xfId="0" applyFont="1" applyFill="1" applyBorder="1" applyAlignment="1">
      <alignment horizontal="center" vertical="top"/>
    </xf>
    <xf numFmtId="0" fontId="3" fillId="2" borderId="56" xfId="0" applyFont="1" applyFill="1" applyBorder="1" applyAlignment="1">
      <alignment horizontal="center" vertical="top"/>
    </xf>
    <xf numFmtId="0" fontId="3" fillId="7" borderId="54" xfId="0" applyFont="1" applyFill="1" applyBorder="1" applyAlignment="1">
      <alignment horizontal="center"/>
    </xf>
    <xf numFmtId="0" fontId="3" fillId="7" borderId="55" xfId="0" applyFont="1" applyFill="1" applyBorder="1" applyAlignment="1">
      <alignment horizontal="center"/>
    </xf>
    <xf numFmtId="0" fontId="3" fillId="7" borderId="56" xfId="0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3" fillId="2" borderId="56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tabSelected="1" topLeftCell="A34" workbookViewId="0">
      <selection activeCell="C67" sqref="C67"/>
    </sheetView>
  </sheetViews>
  <sheetFormatPr defaultRowHeight="15" x14ac:dyDescent="0.25"/>
  <cols>
    <col min="1" max="1" width="9.140625" style="27"/>
    <col min="2" max="2" width="66.140625" style="27" bestFit="1" customWidth="1"/>
    <col min="3" max="3" width="71.42578125" style="27" bestFit="1" customWidth="1"/>
    <col min="4" max="4" width="38.140625" style="27" bestFit="1" customWidth="1"/>
    <col min="5" max="5" width="23.5703125" style="27" bestFit="1" customWidth="1"/>
    <col min="6" max="6" width="14.85546875" style="27" customWidth="1"/>
    <col min="7" max="8" width="49" style="27" bestFit="1" customWidth="1"/>
    <col min="9" max="9" width="9.140625" style="27"/>
    <col min="10" max="10" width="22.140625" style="27" customWidth="1"/>
    <col min="11" max="16384" width="9.140625" style="27"/>
  </cols>
  <sheetData>
    <row r="1" spans="1:8" ht="16.5" thickTop="1" thickBot="1" x14ac:dyDescent="0.3">
      <c r="A1" s="40" t="s">
        <v>15</v>
      </c>
      <c r="B1" s="45" t="s">
        <v>13</v>
      </c>
      <c r="C1" s="46" t="s">
        <v>13</v>
      </c>
      <c r="D1" s="46" t="s">
        <v>13</v>
      </c>
      <c r="E1" s="46" t="s">
        <v>13</v>
      </c>
      <c r="F1" s="35" t="s">
        <v>58</v>
      </c>
      <c r="G1" s="63" t="s">
        <v>13</v>
      </c>
      <c r="H1" s="68" t="s">
        <v>14</v>
      </c>
    </row>
    <row r="2" spans="1:8" ht="16.5" thickTop="1" thickBot="1" x14ac:dyDescent="0.3">
      <c r="A2" s="47"/>
      <c r="B2" s="48" t="s">
        <v>7</v>
      </c>
      <c r="C2" s="49" t="s">
        <v>8</v>
      </c>
      <c r="D2" s="49" t="s">
        <v>0</v>
      </c>
      <c r="E2" s="49" t="s">
        <v>3</v>
      </c>
      <c r="F2" s="50" t="s">
        <v>56</v>
      </c>
      <c r="G2" s="64" t="s">
        <v>57</v>
      </c>
      <c r="H2" s="69" t="s">
        <v>5</v>
      </c>
    </row>
    <row r="3" spans="1:8" ht="16.5" thickTop="1" thickBot="1" x14ac:dyDescent="0.3">
      <c r="B3" s="52" t="s">
        <v>63</v>
      </c>
      <c r="C3" s="53" t="s">
        <v>71</v>
      </c>
      <c r="D3" s="53" t="s">
        <v>72</v>
      </c>
      <c r="E3" s="54" t="s">
        <v>73</v>
      </c>
      <c r="F3" s="55" t="s">
        <v>74</v>
      </c>
      <c r="H3" s="27">
        <v>83170</v>
      </c>
    </row>
    <row r="4" spans="1:8" ht="15.75" thickBot="1" x14ac:dyDescent="0.3">
      <c r="B4" s="52" t="s">
        <v>63</v>
      </c>
      <c r="C4" s="28" t="s">
        <v>75</v>
      </c>
      <c r="D4" s="28" t="s">
        <v>76</v>
      </c>
      <c r="E4" s="56" t="s">
        <v>77</v>
      </c>
      <c r="F4" s="57" t="s">
        <v>74</v>
      </c>
      <c r="H4" s="27">
        <f>H3+1</f>
        <v>83171</v>
      </c>
    </row>
    <row r="5" spans="1:8" ht="15.75" thickBot="1" x14ac:dyDescent="0.3">
      <c r="B5" s="52" t="s">
        <v>63</v>
      </c>
      <c r="C5" s="28" t="s">
        <v>78</v>
      </c>
      <c r="D5" s="28" t="s">
        <v>79</v>
      </c>
      <c r="E5" s="56" t="s">
        <v>80</v>
      </c>
      <c r="F5" s="57" t="s">
        <v>74</v>
      </c>
      <c r="H5" s="27">
        <f t="shared" ref="H5:H14" si="0">H4+1</f>
        <v>83172</v>
      </c>
    </row>
    <row r="6" spans="1:8" ht="15.75" thickBot="1" x14ac:dyDescent="0.3">
      <c r="B6" s="52" t="s">
        <v>63</v>
      </c>
      <c r="C6" s="28" t="s">
        <v>81</v>
      </c>
      <c r="D6" s="28" t="s">
        <v>82</v>
      </c>
      <c r="E6" s="56" t="s">
        <v>83</v>
      </c>
      <c r="F6" s="57" t="s">
        <v>74</v>
      </c>
      <c r="H6" s="27">
        <f t="shared" si="0"/>
        <v>83173</v>
      </c>
    </row>
    <row r="7" spans="1:8" ht="15.75" thickBot="1" x14ac:dyDescent="0.3">
      <c r="B7" s="52" t="s">
        <v>63</v>
      </c>
      <c r="C7" s="28" t="s">
        <v>84</v>
      </c>
      <c r="D7" s="28" t="s">
        <v>85</v>
      </c>
      <c r="E7" s="56" t="s">
        <v>86</v>
      </c>
      <c r="F7" s="57" t="s">
        <v>74</v>
      </c>
      <c r="H7" s="27">
        <f t="shared" si="0"/>
        <v>83174</v>
      </c>
    </row>
    <row r="8" spans="1:8" ht="15.75" thickBot="1" x14ac:dyDescent="0.3">
      <c r="B8" s="52" t="s">
        <v>63</v>
      </c>
      <c r="C8" s="28" t="s">
        <v>87</v>
      </c>
      <c r="D8" s="28" t="s">
        <v>88</v>
      </c>
      <c r="E8" s="56" t="s">
        <v>89</v>
      </c>
      <c r="F8" s="57" t="s">
        <v>74</v>
      </c>
      <c r="H8" s="27">
        <f t="shared" si="0"/>
        <v>83175</v>
      </c>
    </row>
    <row r="9" spans="1:8" ht="15.75" thickBot="1" x14ac:dyDescent="0.3">
      <c r="B9" s="52" t="s">
        <v>63</v>
      </c>
      <c r="C9" s="28" t="s">
        <v>90</v>
      </c>
      <c r="D9" s="28" t="s">
        <v>91</v>
      </c>
      <c r="E9" s="56" t="s">
        <v>92</v>
      </c>
      <c r="F9" s="57" t="s">
        <v>74</v>
      </c>
      <c r="H9" s="27">
        <f t="shared" si="0"/>
        <v>83176</v>
      </c>
    </row>
    <row r="10" spans="1:8" ht="15.75" thickBot="1" x14ac:dyDescent="0.3">
      <c r="B10" s="52" t="s">
        <v>63</v>
      </c>
      <c r="C10" s="28" t="s">
        <v>93</v>
      </c>
      <c r="D10" s="28" t="s">
        <v>94</v>
      </c>
      <c r="E10" s="56" t="s">
        <v>95</v>
      </c>
      <c r="F10" s="57" t="s">
        <v>74</v>
      </c>
      <c r="H10" s="27">
        <f t="shared" si="0"/>
        <v>83177</v>
      </c>
    </row>
    <row r="11" spans="1:8" ht="15.75" thickBot="1" x14ac:dyDescent="0.3">
      <c r="B11" s="52" t="s">
        <v>63</v>
      </c>
      <c r="C11" s="28" t="s">
        <v>96</v>
      </c>
      <c r="D11" s="28" t="s">
        <v>97</v>
      </c>
      <c r="E11" s="56" t="s">
        <v>98</v>
      </c>
      <c r="F11" s="57" t="s">
        <v>74</v>
      </c>
      <c r="H11" s="27">
        <f t="shared" si="0"/>
        <v>83178</v>
      </c>
    </row>
    <row r="12" spans="1:8" ht="15.75" thickBot="1" x14ac:dyDescent="0.3">
      <c r="B12" s="42" t="s">
        <v>63</v>
      </c>
      <c r="C12" s="43" t="s">
        <v>99</v>
      </c>
      <c r="D12" s="32" t="s">
        <v>100</v>
      </c>
      <c r="E12" s="58" t="s">
        <v>101</v>
      </c>
      <c r="F12" s="59" t="s">
        <v>74</v>
      </c>
      <c r="H12" s="27">
        <f t="shared" si="0"/>
        <v>83179</v>
      </c>
    </row>
    <row r="13" spans="1:8" ht="15.75" thickBot="1" x14ac:dyDescent="0.3">
      <c r="B13" s="60" t="s">
        <v>102</v>
      </c>
      <c r="C13" s="37" t="s">
        <v>103</v>
      </c>
      <c r="D13" s="61" t="s">
        <v>104</v>
      </c>
      <c r="E13" s="62" t="s">
        <v>105</v>
      </c>
      <c r="F13" s="51" t="s">
        <v>106</v>
      </c>
      <c r="G13" s="65" t="s">
        <v>112</v>
      </c>
      <c r="H13" s="27">
        <f t="shared" si="0"/>
        <v>83180</v>
      </c>
    </row>
    <row r="14" spans="1:8" ht="15.75" thickBot="1" x14ac:dyDescent="0.3">
      <c r="B14" s="60" t="s">
        <v>107</v>
      </c>
      <c r="C14" s="37" t="s">
        <v>108</v>
      </c>
      <c r="D14" s="61" t="s">
        <v>109</v>
      </c>
      <c r="E14" s="62" t="s">
        <v>110</v>
      </c>
      <c r="F14" s="51" t="s">
        <v>111</v>
      </c>
      <c r="G14" s="66" t="s">
        <v>113</v>
      </c>
      <c r="H14" s="27">
        <f t="shared" si="0"/>
        <v>83181</v>
      </c>
    </row>
    <row r="17" spans="1:17" ht="15.75" thickBot="1" x14ac:dyDescent="0.3"/>
    <row r="18" spans="1:17" ht="16.5" thickTop="1" thickBot="1" x14ac:dyDescent="0.3">
      <c r="A18" s="40" t="s">
        <v>15</v>
      </c>
      <c r="B18" s="70" t="s">
        <v>13</v>
      </c>
      <c r="C18" s="71" t="s">
        <v>13</v>
      </c>
      <c r="D18" s="41" t="s">
        <v>13</v>
      </c>
      <c r="E18" s="41" t="s">
        <v>13</v>
      </c>
      <c r="F18" s="35" t="s">
        <v>58</v>
      </c>
      <c r="G18" s="41" t="s">
        <v>13</v>
      </c>
      <c r="H18" s="72" t="s">
        <v>13</v>
      </c>
      <c r="I18" s="45" t="s">
        <v>14</v>
      </c>
    </row>
    <row r="19" spans="1:17" ht="16.5" thickTop="1" thickBot="1" x14ac:dyDescent="0.3">
      <c r="A19" s="47"/>
      <c r="B19" s="73" t="s">
        <v>7</v>
      </c>
      <c r="C19" s="29" t="s">
        <v>8</v>
      </c>
      <c r="D19" s="29" t="s">
        <v>0</v>
      </c>
      <c r="E19" s="29" t="s">
        <v>3</v>
      </c>
      <c r="F19" s="50" t="s">
        <v>56</v>
      </c>
      <c r="G19" s="50" t="s">
        <v>114</v>
      </c>
      <c r="H19" s="29" t="s">
        <v>57</v>
      </c>
      <c r="I19" s="48" t="s">
        <v>5</v>
      </c>
    </row>
    <row r="20" spans="1:17" ht="15.75" thickBot="1" x14ac:dyDescent="0.3">
      <c r="A20" s="74"/>
      <c r="B20" s="37" t="s">
        <v>102</v>
      </c>
      <c r="C20" s="37" t="s">
        <v>115</v>
      </c>
      <c r="D20" s="37" t="s">
        <v>116</v>
      </c>
      <c r="E20" s="38" t="s">
        <v>117</v>
      </c>
      <c r="F20" s="62" t="s">
        <v>118</v>
      </c>
      <c r="G20" s="62" t="s">
        <v>104</v>
      </c>
      <c r="H20" s="67" t="s">
        <v>119</v>
      </c>
      <c r="I20" s="75">
        <v>83182</v>
      </c>
    </row>
    <row r="21" spans="1:17" ht="15.75" thickTop="1" x14ac:dyDescent="0.25"/>
    <row r="23" spans="1:17" ht="15.75" thickBot="1" x14ac:dyDescent="0.3"/>
    <row r="24" spans="1:17" ht="16.5" thickTop="1" thickBot="1" x14ac:dyDescent="0.3">
      <c r="A24" s="34" t="s">
        <v>15</v>
      </c>
      <c r="B24" s="35" t="s">
        <v>13</v>
      </c>
      <c r="C24" s="35" t="s">
        <v>13</v>
      </c>
      <c r="D24" s="35" t="s">
        <v>58</v>
      </c>
      <c r="E24" s="35" t="s">
        <v>58</v>
      </c>
      <c r="F24" s="35" t="s">
        <v>24</v>
      </c>
      <c r="G24" s="35" t="s">
        <v>58</v>
      </c>
      <c r="H24" s="35" t="s">
        <v>14</v>
      </c>
      <c r="I24" s="35" t="s">
        <v>13</v>
      </c>
      <c r="J24" s="35" t="s">
        <v>13</v>
      </c>
      <c r="K24" s="109" t="s">
        <v>24</v>
      </c>
      <c r="L24" s="110"/>
      <c r="M24" s="110"/>
      <c r="N24" s="110"/>
      <c r="O24" s="110"/>
      <c r="P24" s="111"/>
      <c r="Q24" s="76" t="s">
        <v>14</v>
      </c>
    </row>
    <row r="25" spans="1:17" ht="15.75" thickBot="1" x14ac:dyDescent="0.3">
      <c r="A25" s="77"/>
      <c r="B25" s="29" t="s">
        <v>7</v>
      </c>
      <c r="C25" s="29" t="s">
        <v>8</v>
      </c>
      <c r="D25" s="78" t="s">
        <v>64</v>
      </c>
      <c r="E25" s="29" t="s">
        <v>3</v>
      </c>
      <c r="F25" s="79" t="s">
        <v>65</v>
      </c>
      <c r="G25" s="78" t="s">
        <v>66</v>
      </c>
      <c r="H25" s="29" t="s">
        <v>67</v>
      </c>
      <c r="I25" s="29" t="s">
        <v>68</v>
      </c>
      <c r="J25" s="78" t="s">
        <v>69</v>
      </c>
      <c r="K25" s="112" t="s">
        <v>120</v>
      </c>
      <c r="L25" s="113"/>
      <c r="M25" s="113"/>
      <c r="N25" s="113"/>
      <c r="O25" s="113"/>
      <c r="P25" s="114"/>
      <c r="Q25" s="36" t="s">
        <v>5</v>
      </c>
    </row>
    <row r="26" spans="1:17" ht="15.75" thickBot="1" x14ac:dyDescent="0.3">
      <c r="B26" s="80" t="s">
        <v>121</v>
      </c>
      <c r="C26" s="81" t="s">
        <v>122</v>
      </c>
      <c r="D26" s="81" t="s">
        <v>109</v>
      </c>
      <c r="E26" s="82" t="s">
        <v>110</v>
      </c>
      <c r="F26" s="82" t="s">
        <v>123</v>
      </c>
      <c r="G26" s="82"/>
      <c r="H26" s="83">
        <v>40</v>
      </c>
      <c r="I26" s="81" t="s">
        <v>124</v>
      </c>
      <c r="J26" s="84" t="s">
        <v>125</v>
      </c>
      <c r="K26" s="82" t="s">
        <v>126</v>
      </c>
      <c r="L26" s="82" t="s">
        <v>127</v>
      </c>
      <c r="M26" s="82"/>
      <c r="N26" s="82"/>
      <c r="O26" s="82"/>
      <c r="P26" s="82"/>
      <c r="Q26" s="85">
        <v>83183</v>
      </c>
    </row>
    <row r="29" spans="1:17" ht="15.75" thickBot="1" x14ac:dyDescent="0.3"/>
    <row r="30" spans="1:17" ht="16.5" thickTop="1" thickBot="1" x14ac:dyDescent="0.3">
      <c r="A30" s="34" t="s">
        <v>15</v>
      </c>
      <c r="B30" s="35" t="s">
        <v>13</v>
      </c>
      <c r="C30" s="35" t="s">
        <v>13</v>
      </c>
      <c r="D30" s="35" t="s">
        <v>58</v>
      </c>
      <c r="E30" s="35" t="s">
        <v>58</v>
      </c>
      <c r="F30" s="35" t="s">
        <v>24</v>
      </c>
      <c r="G30" s="35" t="s">
        <v>24</v>
      </c>
      <c r="H30" s="35" t="s">
        <v>14</v>
      </c>
      <c r="I30" s="35" t="s">
        <v>13</v>
      </c>
      <c r="J30" s="35" t="s">
        <v>13</v>
      </c>
      <c r="K30" s="76" t="s">
        <v>14</v>
      </c>
      <c r="L30"/>
      <c r="M30"/>
      <c r="N30"/>
      <c r="O30"/>
      <c r="P30"/>
    </row>
    <row r="31" spans="1:17" ht="15.75" thickBot="1" x14ac:dyDescent="0.3">
      <c r="A31" s="77"/>
      <c r="B31" s="29" t="s">
        <v>7</v>
      </c>
      <c r="C31" s="29" t="s">
        <v>8</v>
      </c>
      <c r="D31" s="78" t="s">
        <v>64</v>
      </c>
      <c r="E31" s="29" t="s">
        <v>3</v>
      </c>
      <c r="F31" s="79" t="s">
        <v>65</v>
      </c>
      <c r="G31" s="78" t="s">
        <v>66</v>
      </c>
      <c r="H31" s="29" t="s">
        <v>67</v>
      </c>
      <c r="I31" s="29" t="s">
        <v>68</v>
      </c>
      <c r="J31" s="78" t="s">
        <v>69</v>
      </c>
      <c r="K31" s="36" t="s">
        <v>5</v>
      </c>
      <c r="L31"/>
      <c r="M31"/>
      <c r="N31"/>
      <c r="O31"/>
      <c r="P31"/>
    </row>
    <row r="32" spans="1:17" ht="15.75" thickBot="1" x14ac:dyDescent="0.3">
      <c r="A32" s="86"/>
      <c r="B32" s="37" t="s">
        <v>128</v>
      </c>
      <c r="C32" s="37" t="s">
        <v>129</v>
      </c>
      <c r="D32" s="37" t="s">
        <v>116</v>
      </c>
      <c r="E32" s="38" t="s">
        <v>117</v>
      </c>
      <c r="F32" s="38" t="s">
        <v>130</v>
      </c>
      <c r="G32" s="38" t="s">
        <v>131</v>
      </c>
      <c r="H32" s="38"/>
      <c r="I32" s="37" t="s">
        <v>116</v>
      </c>
      <c r="J32" s="33" t="s">
        <v>125</v>
      </c>
      <c r="K32" s="39">
        <v>83184</v>
      </c>
      <c r="L32"/>
      <c r="M32"/>
      <c r="N32"/>
      <c r="O32"/>
      <c r="P32"/>
    </row>
    <row r="35" spans="1:11" ht="15.75" thickBot="1" x14ac:dyDescent="0.3"/>
    <row r="36" spans="1:11" ht="15.75" thickBot="1" x14ac:dyDescent="0.3">
      <c r="A36" s="87" t="s">
        <v>15</v>
      </c>
      <c r="B36" s="72" t="s">
        <v>13</v>
      </c>
      <c r="C36" s="72" t="s">
        <v>13</v>
      </c>
      <c r="D36" s="72" t="s">
        <v>13</v>
      </c>
      <c r="E36" s="72" t="s">
        <v>58</v>
      </c>
      <c r="F36" s="72" t="s">
        <v>13</v>
      </c>
      <c r="G36" s="72" t="s">
        <v>13</v>
      </c>
      <c r="H36" s="72" t="s">
        <v>14</v>
      </c>
      <c r="I36" s="72" t="s">
        <v>58</v>
      </c>
      <c r="J36" s="72" t="s">
        <v>13</v>
      </c>
      <c r="K36" s="72" t="s">
        <v>14</v>
      </c>
    </row>
    <row r="37" spans="1:11" ht="15.75" thickBot="1" x14ac:dyDescent="0.3">
      <c r="A37" s="88"/>
      <c r="B37" s="29" t="s">
        <v>7</v>
      </c>
      <c r="C37" s="29" t="s">
        <v>8</v>
      </c>
      <c r="D37" s="29" t="s">
        <v>0</v>
      </c>
      <c r="E37" s="29" t="s">
        <v>11</v>
      </c>
      <c r="F37" s="29" t="s">
        <v>3</v>
      </c>
      <c r="G37" s="29" t="s">
        <v>59</v>
      </c>
      <c r="H37" s="29" t="s">
        <v>60</v>
      </c>
      <c r="I37" s="29" t="s">
        <v>61</v>
      </c>
      <c r="J37" s="29" t="s">
        <v>62</v>
      </c>
      <c r="K37" s="29" t="s">
        <v>5</v>
      </c>
    </row>
    <row r="38" spans="1:11" ht="15.75" thickBot="1" x14ac:dyDescent="0.3">
      <c r="B38" s="80" t="s">
        <v>185</v>
      </c>
      <c r="C38" s="81" t="s">
        <v>183</v>
      </c>
      <c r="D38" s="89" t="s">
        <v>132</v>
      </c>
      <c r="E38" s="90" t="s">
        <v>104</v>
      </c>
      <c r="F38" s="91" t="s">
        <v>105</v>
      </c>
      <c r="G38" s="30" t="s">
        <v>133</v>
      </c>
      <c r="H38" s="31">
        <v>4</v>
      </c>
      <c r="I38" s="31">
        <v>3</v>
      </c>
      <c r="J38" s="75"/>
      <c r="K38" s="75">
        <v>83185</v>
      </c>
    </row>
    <row r="39" spans="1:11" ht="15.75" thickBot="1" x14ac:dyDescent="0.3">
      <c r="B39" s="60" t="s">
        <v>186</v>
      </c>
      <c r="C39" s="37" t="s">
        <v>184</v>
      </c>
      <c r="D39" s="89" t="s">
        <v>134</v>
      </c>
      <c r="E39" s="61" t="s">
        <v>109</v>
      </c>
      <c r="F39" s="62" t="s">
        <v>110</v>
      </c>
      <c r="G39" s="30" t="s">
        <v>135</v>
      </c>
      <c r="H39" s="31">
        <v>3</v>
      </c>
      <c r="I39" s="31">
        <v>2</v>
      </c>
      <c r="J39" s="75"/>
      <c r="K39" s="75">
        <v>83186</v>
      </c>
    </row>
    <row r="42" spans="1:11" ht="15.75" thickBot="1" x14ac:dyDescent="0.3"/>
    <row r="43" spans="1:11" ht="16.5" thickTop="1" thickBot="1" x14ac:dyDescent="0.3">
      <c r="A43" s="92" t="s">
        <v>15</v>
      </c>
      <c r="B43" s="93" t="s">
        <v>13</v>
      </c>
      <c r="C43" s="93" t="s">
        <v>13</v>
      </c>
      <c r="D43" s="93" t="s">
        <v>58</v>
      </c>
      <c r="E43" s="93" t="s">
        <v>13</v>
      </c>
      <c r="F43" s="93" t="s">
        <v>13</v>
      </c>
      <c r="G43" s="94" t="s">
        <v>13</v>
      </c>
      <c r="H43" s="94" t="s">
        <v>14</v>
      </c>
    </row>
    <row r="44" spans="1:11" ht="16.5" thickTop="1" thickBot="1" x14ac:dyDescent="0.3">
      <c r="A44" s="95"/>
      <c r="B44" s="50" t="s">
        <v>7</v>
      </c>
      <c r="C44" s="50" t="s">
        <v>8</v>
      </c>
      <c r="D44" s="96" t="s">
        <v>64</v>
      </c>
      <c r="E44" s="97" t="s">
        <v>136</v>
      </c>
      <c r="F44" s="97" t="s">
        <v>3</v>
      </c>
      <c r="G44" s="98" t="s">
        <v>137</v>
      </c>
      <c r="H44" s="98" t="s">
        <v>5</v>
      </c>
    </row>
    <row r="45" spans="1:11" ht="16.5" thickTop="1" thickBot="1" x14ac:dyDescent="0.3">
      <c r="A45" s="56"/>
      <c r="B45" s="75" t="s">
        <v>138</v>
      </c>
      <c r="C45" s="32" t="s">
        <v>139</v>
      </c>
      <c r="D45" s="28" t="s">
        <v>140</v>
      </c>
      <c r="E45" s="75" t="s">
        <v>140</v>
      </c>
      <c r="F45" s="75" t="s">
        <v>141</v>
      </c>
      <c r="G45" s="75" t="s">
        <v>142</v>
      </c>
      <c r="H45" s="75">
        <v>83187</v>
      </c>
    </row>
    <row r="48" spans="1:11" ht="15.75" thickBot="1" x14ac:dyDescent="0.3"/>
    <row r="49" spans="1:23" ht="16.5" thickTop="1" thickBot="1" x14ac:dyDescent="0.3">
      <c r="A49" s="92" t="s">
        <v>15</v>
      </c>
      <c r="B49" s="93" t="s">
        <v>13</v>
      </c>
      <c r="C49" s="93" t="s">
        <v>13</v>
      </c>
      <c r="D49" s="72" t="s">
        <v>13</v>
      </c>
      <c r="E49" s="93" t="s">
        <v>13</v>
      </c>
      <c r="F49" s="93" t="s">
        <v>13</v>
      </c>
      <c r="G49" s="93" t="s">
        <v>14</v>
      </c>
      <c r="H49" s="93" t="s">
        <v>13</v>
      </c>
      <c r="I49" s="93" t="s">
        <v>24</v>
      </c>
      <c r="J49" s="93" t="s">
        <v>13</v>
      </c>
      <c r="K49" s="93" t="s">
        <v>13</v>
      </c>
      <c r="L49" s="93" t="s">
        <v>13</v>
      </c>
      <c r="M49" s="93" t="s">
        <v>13</v>
      </c>
      <c r="N49" s="93" t="s">
        <v>13</v>
      </c>
      <c r="O49" s="94" t="s">
        <v>14</v>
      </c>
    </row>
    <row r="50" spans="1:23" ht="16.5" thickTop="1" thickBot="1" x14ac:dyDescent="0.3">
      <c r="A50" s="95"/>
      <c r="B50" s="50" t="s">
        <v>7</v>
      </c>
      <c r="C50" s="50" t="s">
        <v>8</v>
      </c>
      <c r="D50" s="29" t="s">
        <v>0</v>
      </c>
      <c r="E50" s="97" t="s">
        <v>3</v>
      </c>
      <c r="F50" s="97" t="s">
        <v>62</v>
      </c>
      <c r="G50" s="97" t="s">
        <v>60</v>
      </c>
      <c r="H50" s="97" t="s">
        <v>143</v>
      </c>
      <c r="I50" s="97" t="s">
        <v>144</v>
      </c>
      <c r="J50" s="97" t="s">
        <v>145</v>
      </c>
      <c r="K50" s="97" t="s">
        <v>146</v>
      </c>
      <c r="L50" s="97" t="s">
        <v>147</v>
      </c>
      <c r="M50" s="97" t="s">
        <v>148</v>
      </c>
      <c r="N50" s="97" t="s">
        <v>149</v>
      </c>
      <c r="O50" s="98" t="s">
        <v>5</v>
      </c>
    </row>
    <row r="51" spans="1:23" ht="16.5" thickTop="1" thickBot="1" x14ac:dyDescent="0.3">
      <c r="A51" s="56"/>
      <c r="B51" s="75" t="s">
        <v>150</v>
      </c>
      <c r="C51" s="32" t="s">
        <v>151</v>
      </c>
      <c r="D51" s="28" t="s">
        <v>152</v>
      </c>
      <c r="E51" s="75" t="s">
        <v>153</v>
      </c>
      <c r="F51" s="28" t="s">
        <v>154</v>
      </c>
      <c r="G51" s="99">
        <v>1</v>
      </c>
      <c r="H51" s="75" t="s">
        <v>155</v>
      </c>
      <c r="I51" s="75" t="s">
        <v>116</v>
      </c>
      <c r="J51" s="75" t="s">
        <v>156</v>
      </c>
      <c r="K51" s="75" t="s">
        <v>157</v>
      </c>
      <c r="L51" s="75" t="s">
        <v>158</v>
      </c>
      <c r="M51" s="100" t="s">
        <v>159</v>
      </c>
      <c r="N51" s="75" t="s">
        <v>160</v>
      </c>
      <c r="O51" s="75">
        <v>83188</v>
      </c>
    </row>
    <row r="54" spans="1:23" ht="15.75" thickBot="1" x14ac:dyDescent="0.3"/>
    <row r="55" spans="1:23" ht="16.5" thickTop="1" thickBot="1" x14ac:dyDescent="0.3">
      <c r="A55" s="92" t="s">
        <v>15</v>
      </c>
      <c r="B55" s="93" t="s">
        <v>13</v>
      </c>
      <c r="C55" s="93" t="s">
        <v>13</v>
      </c>
      <c r="D55" s="72" t="s">
        <v>13</v>
      </c>
      <c r="E55" s="93" t="s">
        <v>13</v>
      </c>
      <c r="F55" s="93" t="s">
        <v>13</v>
      </c>
      <c r="G55" s="93" t="s">
        <v>24</v>
      </c>
      <c r="H55" s="93" t="s">
        <v>13</v>
      </c>
      <c r="I55" s="93" t="s">
        <v>13</v>
      </c>
      <c r="J55" s="93" t="s">
        <v>13</v>
      </c>
      <c r="K55" s="94" t="s">
        <v>13</v>
      </c>
      <c r="L55" s="94" t="s">
        <v>14</v>
      </c>
    </row>
    <row r="56" spans="1:23" ht="16.5" thickTop="1" thickBot="1" x14ac:dyDescent="0.3">
      <c r="A56" s="95"/>
      <c r="B56" s="50" t="s">
        <v>7</v>
      </c>
      <c r="C56" s="50" t="s">
        <v>8</v>
      </c>
      <c r="D56" s="29" t="s">
        <v>0</v>
      </c>
      <c r="E56" s="97" t="s">
        <v>3</v>
      </c>
      <c r="F56" s="97" t="s">
        <v>70</v>
      </c>
      <c r="G56" s="97" t="s">
        <v>161</v>
      </c>
      <c r="H56" s="97" t="s">
        <v>162</v>
      </c>
      <c r="I56" s="97" t="s">
        <v>163</v>
      </c>
      <c r="J56" s="97" t="s">
        <v>164</v>
      </c>
      <c r="K56" s="98" t="s">
        <v>145</v>
      </c>
      <c r="L56" s="98" t="s">
        <v>5</v>
      </c>
    </row>
    <row r="57" spans="1:23" ht="16.5" thickTop="1" thickBot="1" x14ac:dyDescent="0.3">
      <c r="A57" s="56"/>
      <c r="B57" s="75" t="s">
        <v>165</v>
      </c>
      <c r="C57" s="32" t="s">
        <v>166</v>
      </c>
      <c r="D57" s="28" t="s">
        <v>167</v>
      </c>
      <c r="E57" s="75" t="s">
        <v>153</v>
      </c>
      <c r="F57" s="75" t="s">
        <v>168</v>
      </c>
      <c r="G57" s="102" t="s">
        <v>125</v>
      </c>
      <c r="H57" s="75" t="s">
        <v>169</v>
      </c>
      <c r="I57" s="75" t="s">
        <v>170</v>
      </c>
      <c r="J57" s="75" t="s">
        <v>171</v>
      </c>
      <c r="K57" s="101" t="s">
        <v>172</v>
      </c>
      <c r="L57" s="75">
        <v>83189</v>
      </c>
    </row>
    <row r="60" spans="1:23" ht="15.75" thickBot="1" x14ac:dyDescent="0.3"/>
    <row r="61" spans="1:23" ht="15.75" thickBot="1" x14ac:dyDescent="0.3">
      <c r="A61" s="103" t="s">
        <v>15</v>
      </c>
      <c r="B61" s="70" t="s">
        <v>13</v>
      </c>
      <c r="C61" s="70" t="s">
        <v>13</v>
      </c>
      <c r="D61" s="72" t="s">
        <v>13</v>
      </c>
      <c r="E61" s="70" t="s">
        <v>13</v>
      </c>
      <c r="F61" s="70" t="s">
        <v>13</v>
      </c>
      <c r="G61" s="70" t="s">
        <v>24</v>
      </c>
      <c r="H61" s="70" t="s">
        <v>13</v>
      </c>
      <c r="I61" s="70" t="s">
        <v>13</v>
      </c>
      <c r="J61" s="70" t="s">
        <v>13</v>
      </c>
      <c r="K61" s="70" t="s">
        <v>13</v>
      </c>
      <c r="L61" s="71" t="s">
        <v>13</v>
      </c>
      <c r="M61" s="115" t="s">
        <v>16</v>
      </c>
      <c r="N61" s="116"/>
      <c r="O61" s="116"/>
      <c r="P61" s="116"/>
      <c r="Q61" s="116"/>
      <c r="R61" s="116"/>
      <c r="S61" s="116"/>
      <c r="T61" s="116"/>
      <c r="U61" s="116"/>
      <c r="V61" s="117"/>
      <c r="W61" s="71" t="s">
        <v>14</v>
      </c>
    </row>
    <row r="62" spans="1:23" ht="16.5" thickTop="1" thickBot="1" x14ac:dyDescent="0.3">
      <c r="A62" s="104"/>
      <c r="B62" s="50" t="s">
        <v>7</v>
      </c>
      <c r="C62" s="50" t="s">
        <v>8</v>
      </c>
      <c r="D62" s="29" t="s">
        <v>0</v>
      </c>
      <c r="E62" s="97" t="s">
        <v>3</v>
      </c>
      <c r="F62" s="97" t="s">
        <v>70</v>
      </c>
      <c r="G62" s="97" t="s">
        <v>173</v>
      </c>
      <c r="H62" s="97" t="s">
        <v>174</v>
      </c>
      <c r="I62" s="97" t="s">
        <v>143</v>
      </c>
      <c r="J62" s="97" t="s">
        <v>145</v>
      </c>
      <c r="K62" s="97" t="s">
        <v>161</v>
      </c>
      <c r="L62" s="97" t="s">
        <v>175</v>
      </c>
      <c r="M62" s="118" t="s">
        <v>176</v>
      </c>
      <c r="N62" s="119"/>
      <c r="O62" s="119"/>
      <c r="P62" s="119"/>
      <c r="Q62" s="119"/>
      <c r="R62" s="119"/>
      <c r="S62" s="119"/>
      <c r="T62" s="119"/>
      <c r="U62" s="119"/>
      <c r="V62" s="120"/>
      <c r="W62" s="97" t="s">
        <v>5</v>
      </c>
    </row>
    <row r="63" spans="1:23" ht="16.5" thickTop="1" thickBot="1" x14ac:dyDescent="0.3">
      <c r="A63" s="105"/>
      <c r="B63" s="75" t="s">
        <v>177</v>
      </c>
      <c r="C63" s="32" t="s">
        <v>178</v>
      </c>
      <c r="D63" s="28" t="s">
        <v>154</v>
      </c>
      <c r="E63" s="75" t="s">
        <v>153</v>
      </c>
      <c r="F63" s="75" t="s">
        <v>179</v>
      </c>
      <c r="G63" s="75" t="s">
        <v>167</v>
      </c>
      <c r="H63" s="75" t="s">
        <v>140</v>
      </c>
      <c r="I63" s="75" t="s">
        <v>180</v>
      </c>
      <c r="J63" s="75" t="s">
        <v>172</v>
      </c>
      <c r="K63" s="75" t="s">
        <v>181</v>
      </c>
      <c r="L63" s="88" t="s">
        <v>182</v>
      </c>
      <c r="M63" s="29" t="s">
        <v>10</v>
      </c>
      <c r="N63" s="29" t="s">
        <v>10</v>
      </c>
      <c r="O63" s="29" t="s">
        <v>10</v>
      </c>
      <c r="P63" s="29" t="s">
        <v>10</v>
      </c>
      <c r="Q63" s="29" t="s">
        <v>10</v>
      </c>
      <c r="R63" s="29" t="s">
        <v>10</v>
      </c>
      <c r="S63" s="29" t="s">
        <v>10</v>
      </c>
      <c r="T63" s="29" t="s">
        <v>10</v>
      </c>
      <c r="U63" s="29" t="s">
        <v>10</v>
      </c>
      <c r="V63" s="29" t="s">
        <v>10</v>
      </c>
      <c r="W63" s="88">
        <v>83190</v>
      </c>
    </row>
    <row r="64" spans="1:23" ht="15.75" thickBot="1" x14ac:dyDescent="0.3">
      <c r="A64" s="106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88"/>
      <c r="M64" s="107">
        <v>20</v>
      </c>
      <c r="N64" s="107">
        <v>20</v>
      </c>
      <c r="O64" s="107">
        <v>20</v>
      </c>
      <c r="P64" s="107">
        <v>20</v>
      </c>
      <c r="Q64" s="107">
        <v>20</v>
      </c>
      <c r="R64" s="107">
        <v>20</v>
      </c>
      <c r="S64" s="107">
        <v>20</v>
      </c>
      <c r="T64" s="107">
        <v>20</v>
      </c>
      <c r="U64" s="107">
        <v>20</v>
      </c>
      <c r="V64" s="107">
        <v>20</v>
      </c>
      <c r="W64" s="88"/>
    </row>
    <row r="65" spans="1:23" ht="15.75" thickBot="1" x14ac:dyDescent="0.3">
      <c r="A65" s="108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38"/>
      <c r="M65" s="29" t="s">
        <v>11</v>
      </c>
      <c r="N65" s="29" t="s">
        <v>11</v>
      </c>
      <c r="O65" s="29" t="s">
        <v>11</v>
      </c>
      <c r="P65" s="29" t="s">
        <v>11</v>
      </c>
      <c r="Q65" s="29" t="s">
        <v>11</v>
      </c>
      <c r="R65" s="29" t="s">
        <v>11</v>
      </c>
      <c r="S65" s="29" t="s">
        <v>11</v>
      </c>
      <c r="T65" s="29" t="s">
        <v>11</v>
      </c>
      <c r="U65" s="29" t="s">
        <v>11</v>
      </c>
      <c r="V65" s="29" t="s">
        <v>11</v>
      </c>
      <c r="W65" s="88"/>
    </row>
    <row r="66" spans="1:23" x14ac:dyDescent="0.25">
      <c r="M66" s="27" t="s">
        <v>72</v>
      </c>
      <c r="N66" s="27" t="s">
        <v>76</v>
      </c>
      <c r="O66" s="27" t="s">
        <v>79</v>
      </c>
      <c r="P66" s="27" t="s">
        <v>82</v>
      </c>
      <c r="Q66" s="27" t="s">
        <v>85</v>
      </c>
      <c r="R66" s="27" t="s">
        <v>88</v>
      </c>
      <c r="S66" s="27" t="s">
        <v>91</v>
      </c>
      <c r="T66" s="27" t="s">
        <v>94</v>
      </c>
      <c r="U66" s="27" t="s">
        <v>97</v>
      </c>
      <c r="V66" s="27" t="s">
        <v>100</v>
      </c>
    </row>
  </sheetData>
  <mergeCells count="4">
    <mergeCell ref="M62:V62"/>
    <mergeCell ref="K24:P24"/>
    <mergeCell ref="K25:P25"/>
    <mergeCell ref="M61:V6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F3" sqref="F3:G3"/>
    </sheetView>
  </sheetViews>
  <sheetFormatPr defaultRowHeight="15" x14ac:dyDescent="0.25"/>
  <cols>
    <col min="1" max="1" width="14.28515625" customWidth="1"/>
    <col min="2" max="2" width="40.140625" bestFit="1" customWidth="1"/>
    <col min="3" max="3" width="44.42578125" bestFit="1" customWidth="1"/>
    <col min="4" max="4" width="30.28515625" bestFit="1" customWidth="1"/>
    <col min="5" max="5" width="10.28515625" bestFit="1" customWidth="1"/>
    <col min="6" max="8" width="22" bestFit="1" customWidth="1"/>
  </cols>
  <sheetData>
    <row r="1" spans="1:9" ht="15.75" thickBot="1" x14ac:dyDescent="0.3"/>
    <row r="2" spans="1:9" ht="15.75" thickBot="1" x14ac:dyDescent="0.3">
      <c r="A2" s="9" t="s">
        <v>15</v>
      </c>
      <c r="B2" s="18" t="s">
        <v>13</v>
      </c>
      <c r="C2" s="18" t="s">
        <v>13</v>
      </c>
      <c r="D2" s="19" t="s">
        <v>13</v>
      </c>
      <c r="E2" s="13" t="s">
        <v>13</v>
      </c>
      <c r="F2" s="121" t="s">
        <v>24</v>
      </c>
      <c r="G2" s="121"/>
      <c r="H2" s="14" t="s">
        <v>14</v>
      </c>
    </row>
    <row r="3" spans="1:9" x14ac:dyDescent="0.25">
      <c r="B3" s="15" t="s">
        <v>7</v>
      </c>
      <c r="C3" s="16" t="s">
        <v>8</v>
      </c>
      <c r="D3" s="16" t="s">
        <v>0</v>
      </c>
      <c r="E3" s="16" t="s">
        <v>3</v>
      </c>
      <c r="F3" s="122" t="s">
        <v>21</v>
      </c>
      <c r="G3" s="122"/>
      <c r="H3" s="17" t="s">
        <v>5</v>
      </c>
    </row>
    <row r="4" spans="1:9" x14ac:dyDescent="0.25">
      <c r="B4" s="4" t="s">
        <v>2</v>
      </c>
      <c r="C4" s="2" t="str">
        <f>"/build/"&amp;D4&amp;".proto.js"</f>
        <v>/build/Fun11_Restoration_Generator_1.proto.js</v>
      </c>
      <c r="D4" s="2" t="s">
        <v>26</v>
      </c>
      <c r="E4" s="2" t="s">
        <v>4</v>
      </c>
      <c r="F4" s="2" t="s">
        <v>22</v>
      </c>
      <c r="G4" s="2" t="s">
        <v>23</v>
      </c>
      <c r="H4" s="5">
        <v>67403</v>
      </c>
    </row>
    <row r="5" spans="1:9" ht="15.75" thickBot="1" x14ac:dyDescent="0.3">
      <c r="B5" s="6" t="s">
        <v>2</v>
      </c>
      <c r="C5" s="7" t="str">
        <f>"/build/"&amp;D5&amp;".proto.js"</f>
        <v>/build/Fun11_Restoration_Generator_2.proto.js</v>
      </c>
      <c r="D5" s="7" t="s">
        <v>6</v>
      </c>
      <c r="E5" s="7" t="s">
        <v>4</v>
      </c>
      <c r="F5" s="7">
        <v>10</v>
      </c>
      <c r="G5" s="7">
        <v>5</v>
      </c>
      <c r="H5" s="8">
        <v>67404</v>
      </c>
    </row>
    <row r="8" spans="1:9" ht="15.75" thickBot="1" x14ac:dyDescent="0.3"/>
    <row r="9" spans="1:9" ht="15.75" thickBot="1" x14ac:dyDescent="0.3">
      <c r="A9" s="9" t="s">
        <v>15</v>
      </c>
      <c r="B9" s="18" t="s">
        <v>13</v>
      </c>
      <c r="C9" s="18" t="s">
        <v>13</v>
      </c>
      <c r="D9" s="18" t="s">
        <v>13</v>
      </c>
      <c r="E9" s="18" t="s">
        <v>13</v>
      </c>
      <c r="F9" s="14" t="s">
        <v>14</v>
      </c>
    </row>
    <row r="10" spans="1:9" x14ac:dyDescent="0.25">
      <c r="B10" s="15" t="s">
        <v>7</v>
      </c>
      <c r="C10" s="16" t="s">
        <v>8</v>
      </c>
      <c r="D10" s="16" t="s">
        <v>0</v>
      </c>
      <c r="E10" s="16" t="s">
        <v>3</v>
      </c>
      <c r="F10" s="17" t="s">
        <v>5</v>
      </c>
    </row>
    <row r="11" spans="1:9" x14ac:dyDescent="0.25">
      <c r="B11" s="4" t="s">
        <v>2</v>
      </c>
      <c r="C11" s="2" t="str">
        <f>"/build/"&amp;D11&amp;".proto.js"</f>
        <v>/build/Fun11_Restoration_Generator_3.proto.js</v>
      </c>
      <c r="D11" s="2" t="s">
        <v>25</v>
      </c>
      <c r="E11" s="2" t="s">
        <v>4</v>
      </c>
      <c r="F11" s="5">
        <v>67403</v>
      </c>
    </row>
    <row r="12" spans="1:9" x14ac:dyDescent="0.25">
      <c r="B12" s="4" t="s">
        <v>2</v>
      </c>
      <c r="C12" s="2" t="str">
        <f>"/build/"&amp;D12&amp;".proto.js"</f>
        <v>/build/Fun11_Restoration_Generator_4.proto.js</v>
      </c>
      <c r="D12" s="2" t="s">
        <v>27</v>
      </c>
      <c r="E12" s="2" t="s">
        <v>4</v>
      </c>
      <c r="F12" s="5">
        <v>67404</v>
      </c>
    </row>
    <row r="13" spans="1:9" ht="15.75" thickBot="1" x14ac:dyDescent="0.3">
      <c r="B13" s="6" t="s">
        <v>2</v>
      </c>
      <c r="C13" s="7" t="str">
        <f>"/build/"&amp;D13&amp;".proto.js"</f>
        <v>/build/Fun11_Restoration_Generator_5.proto.js</v>
      </c>
      <c r="D13" s="7" t="s">
        <v>28</v>
      </c>
      <c r="E13" s="7" t="s">
        <v>4</v>
      </c>
      <c r="F13" s="8">
        <v>67405</v>
      </c>
    </row>
    <row r="15" spans="1:9" ht="15.75" thickBot="1" x14ac:dyDescent="0.3"/>
    <row r="16" spans="1:9" ht="15.75" thickBot="1" x14ac:dyDescent="0.3">
      <c r="A16" s="11" t="s">
        <v>20</v>
      </c>
      <c r="B16" s="12" t="s">
        <v>13</v>
      </c>
      <c r="C16" s="12" t="s">
        <v>13</v>
      </c>
      <c r="D16" s="12" t="s">
        <v>13</v>
      </c>
      <c r="E16" s="12" t="s">
        <v>13</v>
      </c>
      <c r="F16" s="123" t="s">
        <v>16</v>
      </c>
      <c r="G16" s="123"/>
      <c r="H16" s="123"/>
      <c r="I16" s="10" t="s">
        <v>14</v>
      </c>
    </row>
    <row r="17" spans="2:9" x14ac:dyDescent="0.25">
      <c r="B17" s="3" t="s">
        <v>7</v>
      </c>
      <c r="C17" s="3" t="s">
        <v>8</v>
      </c>
      <c r="D17" s="3" t="s">
        <v>0</v>
      </c>
      <c r="E17" s="3" t="s">
        <v>3</v>
      </c>
      <c r="F17" s="124" t="s">
        <v>9</v>
      </c>
      <c r="G17" s="125"/>
      <c r="H17" s="126"/>
      <c r="I17" s="3" t="s">
        <v>5</v>
      </c>
    </row>
    <row r="18" spans="2:9" ht="15.75" thickBot="1" x14ac:dyDescent="0.3">
      <c r="B18" s="2" t="s">
        <v>2</v>
      </c>
      <c r="C18" s="2" t="str">
        <f>"/build/"&amp;D18&amp;".proto.js"</f>
        <v>/build/Fun11_Restoration_Generator.proto.js</v>
      </c>
      <c r="D18" s="7" t="s">
        <v>1</v>
      </c>
      <c r="E18" s="2" t="s">
        <v>4</v>
      </c>
      <c r="F18" s="1" t="s">
        <v>10</v>
      </c>
      <c r="G18" s="1" t="s">
        <v>10</v>
      </c>
      <c r="H18" s="1" t="s">
        <v>10</v>
      </c>
      <c r="I18" s="2">
        <v>67408</v>
      </c>
    </row>
    <row r="19" spans="2:9" x14ac:dyDescent="0.25">
      <c r="F19" s="2">
        <v>20</v>
      </c>
      <c r="G19" s="2">
        <v>21</v>
      </c>
      <c r="H19" s="2">
        <v>22</v>
      </c>
    </row>
    <row r="20" spans="2:9" x14ac:dyDescent="0.25">
      <c r="F20" s="3" t="s">
        <v>11</v>
      </c>
      <c r="G20" s="3" t="s">
        <v>11</v>
      </c>
      <c r="H20" s="3" t="s">
        <v>11</v>
      </c>
    </row>
    <row r="21" spans="2:9" x14ac:dyDescent="0.25">
      <c r="F21" s="2" t="s">
        <v>17</v>
      </c>
      <c r="G21" s="2" t="s">
        <v>18</v>
      </c>
      <c r="H21" s="2" t="s">
        <v>19</v>
      </c>
    </row>
    <row r="22" spans="2:9" x14ac:dyDescent="0.25">
      <c r="F22" s="1" t="s">
        <v>12</v>
      </c>
      <c r="G22" s="1" t="s">
        <v>12</v>
      </c>
      <c r="H22" s="1" t="s">
        <v>12</v>
      </c>
    </row>
    <row r="23" spans="2:9" x14ac:dyDescent="0.25">
      <c r="F23" s="2">
        <v>1</v>
      </c>
      <c r="G23" s="2">
        <v>2</v>
      </c>
      <c r="H23" s="2">
        <v>3</v>
      </c>
    </row>
  </sheetData>
  <mergeCells count="4">
    <mergeCell ref="F2:G2"/>
    <mergeCell ref="F3:G3"/>
    <mergeCell ref="F16:H16"/>
    <mergeCell ref="F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A22" sqref="A22:B22"/>
    </sheetView>
  </sheetViews>
  <sheetFormatPr defaultRowHeight="15" x14ac:dyDescent="0.25"/>
  <cols>
    <col min="1" max="1" width="22.140625" bestFit="1" customWidth="1"/>
    <col min="2" max="3" width="22" bestFit="1" customWidth="1"/>
    <col min="4" max="4" width="6" bestFit="1" customWidth="1"/>
    <col min="7" max="7" width="10.28515625" bestFit="1" customWidth="1"/>
    <col min="9" max="9" width="11.7109375" customWidth="1"/>
    <col min="10" max="10" width="109.5703125" bestFit="1" customWidth="1"/>
  </cols>
  <sheetData>
    <row r="1" spans="1:11" ht="15.75" thickBot="1" x14ac:dyDescent="0.3">
      <c r="A1" s="21" t="s">
        <v>31</v>
      </c>
      <c r="B1" s="25"/>
      <c r="D1" s="10" t="s">
        <v>14</v>
      </c>
      <c r="E1" s="26"/>
      <c r="G1" s="12" t="s">
        <v>13</v>
      </c>
      <c r="H1" s="26"/>
      <c r="J1" s="12" t="s">
        <v>30</v>
      </c>
      <c r="K1" s="25"/>
    </row>
    <row r="2" spans="1:11" x14ac:dyDescent="0.25">
      <c r="A2" s="3" t="s">
        <v>50</v>
      </c>
      <c r="B2" s="25"/>
      <c r="D2" s="3" t="s">
        <v>5</v>
      </c>
      <c r="E2" s="26"/>
      <c r="G2" s="3" t="s">
        <v>3</v>
      </c>
      <c r="H2" s="26"/>
      <c r="J2" s="3" t="s">
        <v>29</v>
      </c>
      <c r="K2" s="25"/>
    </row>
    <row r="3" spans="1:11" x14ac:dyDescent="0.25">
      <c r="A3" s="20" t="s">
        <v>51</v>
      </c>
      <c r="B3" s="25"/>
      <c r="D3" s="2">
        <v>67408</v>
      </c>
      <c r="E3" s="26"/>
      <c r="G3" s="2" t="s">
        <v>4</v>
      </c>
      <c r="H3" s="26"/>
      <c r="J3" s="1" t="s">
        <v>32</v>
      </c>
      <c r="K3" s="25"/>
    </row>
    <row r="4" spans="1:11" x14ac:dyDescent="0.25">
      <c r="A4" s="22" t="s">
        <v>52</v>
      </c>
      <c r="B4" s="25"/>
      <c r="J4" s="2">
        <v>1</v>
      </c>
      <c r="K4" s="25"/>
    </row>
    <row r="5" spans="1:11" x14ac:dyDescent="0.25">
      <c r="A5" s="20" t="s">
        <v>53</v>
      </c>
      <c r="B5" s="25"/>
      <c r="J5" s="1" t="s">
        <v>33</v>
      </c>
      <c r="K5" s="25"/>
    </row>
    <row r="6" spans="1:11" x14ac:dyDescent="0.25">
      <c r="A6" s="20" t="s">
        <v>54</v>
      </c>
      <c r="B6" s="25"/>
      <c r="J6" s="2">
        <v>1</v>
      </c>
      <c r="K6" s="25"/>
    </row>
    <row r="7" spans="1:11" ht="15.75" thickBot="1" x14ac:dyDescent="0.3">
      <c r="A7" s="23" t="s">
        <v>55</v>
      </c>
      <c r="B7" s="25"/>
      <c r="J7" s="1" t="s">
        <v>34</v>
      </c>
      <c r="K7" s="25"/>
    </row>
    <row r="8" spans="1:11" x14ac:dyDescent="0.25">
      <c r="J8" s="2" t="s">
        <v>43</v>
      </c>
      <c r="K8" s="25"/>
    </row>
    <row r="9" spans="1:11" ht="15.75" thickBot="1" x14ac:dyDescent="0.3">
      <c r="J9" s="1" t="s">
        <v>35</v>
      </c>
      <c r="K9" s="25"/>
    </row>
    <row r="10" spans="1:11" ht="15.75" thickBot="1" x14ac:dyDescent="0.3">
      <c r="A10" s="123" t="s">
        <v>16</v>
      </c>
      <c r="B10" s="123"/>
      <c r="C10" s="123"/>
      <c r="D10" s="24"/>
      <c r="J10" s="2" t="s">
        <v>44</v>
      </c>
      <c r="K10" s="25"/>
    </row>
    <row r="11" spans="1:11" x14ac:dyDescent="0.25">
      <c r="A11" s="124" t="s">
        <v>9</v>
      </c>
      <c r="B11" s="125"/>
      <c r="C11" s="126"/>
      <c r="D11" s="24"/>
      <c r="J11" s="1" t="s">
        <v>36</v>
      </c>
      <c r="K11" s="25"/>
    </row>
    <row r="12" spans="1:11" x14ac:dyDescent="0.25">
      <c r="A12" s="1" t="s">
        <v>10</v>
      </c>
      <c r="B12" s="1" t="s">
        <v>10</v>
      </c>
      <c r="C12" s="1" t="s">
        <v>10</v>
      </c>
      <c r="D12" s="24"/>
      <c r="J12" s="2" t="s">
        <v>45</v>
      </c>
      <c r="K12" s="25"/>
    </row>
    <row r="13" spans="1:11" x14ac:dyDescent="0.25">
      <c r="A13" s="2">
        <v>20</v>
      </c>
      <c r="B13" s="2">
        <v>21</v>
      </c>
      <c r="C13" s="2">
        <v>22</v>
      </c>
      <c r="D13" s="24"/>
      <c r="J13" s="1" t="s">
        <v>37</v>
      </c>
      <c r="K13" s="25"/>
    </row>
    <row r="14" spans="1:11" x14ac:dyDescent="0.25">
      <c r="A14" s="3" t="s">
        <v>11</v>
      </c>
      <c r="B14" s="3" t="s">
        <v>11</v>
      </c>
      <c r="C14" s="3" t="s">
        <v>11</v>
      </c>
      <c r="D14" s="24"/>
      <c r="J14" s="2" t="s">
        <v>46</v>
      </c>
      <c r="K14" s="25"/>
    </row>
    <row r="15" spans="1:11" x14ac:dyDescent="0.25">
      <c r="A15" s="2" t="s">
        <v>17</v>
      </c>
      <c r="B15" s="2" t="s">
        <v>18</v>
      </c>
      <c r="C15" s="2" t="s">
        <v>19</v>
      </c>
      <c r="D15" s="24"/>
      <c r="J15" s="1" t="s">
        <v>38</v>
      </c>
      <c r="K15" s="25"/>
    </row>
    <row r="16" spans="1:11" x14ac:dyDescent="0.25">
      <c r="A16" s="1" t="s">
        <v>12</v>
      </c>
      <c r="B16" s="1" t="s">
        <v>12</v>
      </c>
      <c r="C16" s="1" t="s">
        <v>12</v>
      </c>
      <c r="D16" s="24"/>
      <c r="J16" s="2" t="s">
        <v>47</v>
      </c>
      <c r="K16" s="25"/>
    </row>
    <row r="17" spans="1:11" x14ac:dyDescent="0.25">
      <c r="A17" s="2">
        <v>1</v>
      </c>
      <c r="B17" s="2">
        <v>2</v>
      </c>
      <c r="C17" s="2">
        <v>3</v>
      </c>
      <c r="D17" s="24"/>
      <c r="J17" s="1" t="s">
        <v>39</v>
      </c>
      <c r="K17" s="25"/>
    </row>
    <row r="18" spans="1:11" x14ac:dyDescent="0.25">
      <c r="J18" s="2" t="s">
        <v>48</v>
      </c>
      <c r="K18" s="25"/>
    </row>
    <row r="19" spans="1:11" x14ac:dyDescent="0.25">
      <c r="J19" s="1" t="s">
        <v>40</v>
      </c>
      <c r="K19" s="25"/>
    </row>
    <row r="20" spans="1:11" ht="15.75" thickBot="1" x14ac:dyDescent="0.3">
      <c r="J20" s="2" t="s">
        <v>49</v>
      </c>
      <c r="K20" s="25"/>
    </row>
    <row r="21" spans="1:11" ht="15.75" thickBot="1" x14ac:dyDescent="0.3">
      <c r="A21" s="121" t="s">
        <v>24</v>
      </c>
      <c r="B21" s="121"/>
      <c r="C21" s="26"/>
      <c r="J21" s="1" t="s">
        <v>41</v>
      </c>
      <c r="K21" s="25"/>
    </row>
    <row r="22" spans="1:11" x14ac:dyDescent="0.25">
      <c r="A22" s="122" t="s">
        <v>21</v>
      </c>
      <c r="B22" s="122"/>
      <c r="C22" s="26"/>
      <c r="J22" s="2">
        <v>1982825</v>
      </c>
      <c r="K22" s="25"/>
    </row>
    <row r="23" spans="1:11" x14ac:dyDescent="0.25">
      <c r="A23" s="2" t="s">
        <v>22</v>
      </c>
      <c r="B23" s="2" t="s">
        <v>23</v>
      </c>
      <c r="C23" s="26"/>
      <c r="J23" s="1" t="s">
        <v>42</v>
      </c>
      <c r="K23" s="25"/>
    </row>
    <row r="24" spans="1:11" ht="15.75" thickBot="1" x14ac:dyDescent="0.3">
      <c r="A24" s="7">
        <v>10</v>
      </c>
      <c r="B24" s="7">
        <v>5</v>
      </c>
      <c r="C24" s="26"/>
      <c r="J24" s="7">
        <v>16777215</v>
      </c>
      <c r="K24" s="25"/>
    </row>
  </sheetData>
  <mergeCells count="4">
    <mergeCell ref="A10:C10"/>
    <mergeCell ref="A11:C11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conf</vt:lpstr>
      <vt:lpstr>Способы</vt:lpstr>
      <vt:lpstr>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2026-02-18T16:37:46Z</dcterms:modified>
</cp:coreProperties>
</file>