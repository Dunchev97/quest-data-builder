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89B41D5-9F0F-4698-9E0C-E127722532FB}" xr6:coauthVersionLast="47" xr6:coauthVersionMax="47" xr10:uidLastSave="{00000000-0000-0000-0000-000000000000}"/>
  <bookViews>
    <workbookView xWindow="-120" yWindow="-120" windowWidth="29040" windowHeight="15840" tabRatio="591" xr2:uid="{00000000-000D-0000-FFFF-FFFF00000000}"/>
  </bookViews>
  <sheets>
    <sheet name="conf" sheetId="6" r:id="rId1"/>
    <sheet name="Способы" sheetId="7" r:id="rId2"/>
    <sheet name="Значения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" l="1"/>
  <c r="C34" i="6"/>
  <c r="C35" i="6"/>
  <c r="C36" i="6"/>
  <c r="C37" i="6"/>
  <c r="C38" i="6"/>
  <c r="C33" i="6"/>
  <c r="C13" i="6"/>
  <c r="C19" i="6"/>
  <c r="C20" i="6"/>
  <c r="C21" i="6"/>
  <c r="C22" i="6"/>
  <c r="C23" i="6"/>
  <c r="C18" i="6"/>
  <c r="G19" i="6" l="1"/>
  <c r="G20" i="6"/>
  <c r="G21" i="6"/>
  <c r="G22" i="6"/>
  <c r="G23" i="6"/>
  <c r="G18" i="6"/>
  <c r="C5" i="6"/>
  <c r="C6" i="6"/>
  <c r="C7" i="6"/>
  <c r="C8" i="6"/>
  <c r="C18" i="7" l="1"/>
  <c r="C13" i="7"/>
  <c r="C12" i="7"/>
  <c r="C11" i="7"/>
  <c r="C5" i="7"/>
  <c r="C4" i="7"/>
</calcChain>
</file>

<file path=xl/sharedStrings.xml><?xml version="1.0" encoding="utf-8"?>
<sst xmlns="http://schemas.openxmlformats.org/spreadsheetml/2006/main" count="299" uniqueCount="144">
  <si>
    <t>classname</t>
  </si>
  <si>
    <t>Fun11_Restoration_Generator</t>
  </si>
  <si>
    <t>/src/Fun10_Restoration_Generator.proto.js</t>
  </si>
  <si>
    <t>title</t>
  </si>
  <si>
    <t>Что то там</t>
  </si>
  <si>
    <t>id</t>
  </si>
  <si>
    <t>Fun11_Restoration_Generator_2</t>
  </si>
  <si>
    <t>input</t>
  </si>
  <si>
    <t>output</t>
  </si>
  <si>
    <t>extra.stages.0.reward.one_of</t>
  </si>
  <si>
    <t>p</t>
  </si>
  <si>
    <t>asset</t>
  </si>
  <si>
    <t>amount</t>
  </si>
  <si>
    <t>string</t>
  </si>
  <si>
    <t>int</t>
  </si>
  <si>
    <t>temp_01</t>
  </si>
  <si>
    <t>array_of_objects</t>
  </si>
  <si>
    <t>Fun10_Restoration_1_1</t>
  </si>
  <si>
    <t>Fun10_Restoration_1_2</t>
  </si>
  <si>
    <t>Fun10_Restoration_1_3</t>
  </si>
  <si>
    <t>temp_02</t>
  </si>
  <si>
    <t>tags</t>
  </si>
  <si>
    <t>home</t>
  </si>
  <si>
    <t>build_new_home</t>
  </si>
  <si>
    <t>array</t>
  </si>
  <si>
    <t>Fun11_Restoration_Generator_3</t>
  </si>
  <si>
    <t>Fun11_Restoration_Generator_1</t>
  </si>
  <si>
    <t>Fun11_Restoration_Generator_4</t>
  </si>
  <si>
    <t>Fun11_Restoration_Generator_5</t>
  </si>
  <si>
    <t>extra</t>
  </si>
  <si>
    <t>object</t>
  </si>
  <si>
    <t>array_of_values</t>
  </si>
  <si>
    <t>hide_tool_tip</t>
  </si>
  <si>
    <t>is_hide_description</t>
  </si>
  <si>
    <t>window_skin</t>
  </si>
  <si>
    <t>description_window</t>
  </si>
  <si>
    <t>reward_description</t>
  </si>
  <si>
    <t>instruction_title</t>
  </si>
  <si>
    <t>tile_till_window</t>
  </si>
  <si>
    <t>open_btn_window</t>
  </si>
  <si>
    <t>open_now_btn_window</t>
  </si>
  <si>
    <t>open_btn_bgr_color</t>
  </si>
  <si>
    <t>open_btn_tf_color</t>
  </si>
  <si>
    <t>Fun11_FunCollection_1_Window</t>
  </si>
  <si>
    <t>Используй "Набор отмычек" чтобы открыть сундук сокровищ Камелота, в нём ты найдёшь одно из 10-ти сокровищ.</t>
  </si>
  <si>
    <t>Собирай Сокровища Камелота, вскрывая отмычками Сундук сокровищ Камелота дома и в гостях.</t>
  </si>
  <si>
    <t>ВНИМАНИЕ! Одна попытка вскрыть замок только раз в 1 час 30 минут!</t>
  </si>
  <si>
    <t>Можно вскрыть через:</t>
  </si>
  <si>
    <t>Вскрыть</t>
  </si>
  <si>
    <t>Вскрыть сейчас за {price}</t>
  </si>
  <si>
    <t>extra.resource</t>
  </si>
  <si>
    <t>Fun11_Exchanger_RG_1</t>
  </si>
  <si>
    <t>Fun11_Exchanger_RG_2</t>
  </si>
  <si>
    <t>Fun11_Exchanger_RG_3</t>
  </si>
  <si>
    <t>Fun11_Exchanger_RG_4</t>
  </si>
  <si>
    <t>Fun11_Exchanger_RG_5</t>
  </si>
  <si>
    <t>description</t>
  </si>
  <si>
    <t>meta_info</t>
  </si>
  <si>
    <t>/debris/Fun/Fun10/Fun10_Exchanger_Generator_1.proto.js</t>
  </si>
  <si>
    <t>Fun12_Exchanger_Generator_1</t>
  </si>
  <si>
    <t>Таинственная шкатулка с навершиями</t>
  </si>
  <si>
    <t>Fun12_Exchanger_Generator_2</t>
  </si>
  <si>
    <t>Fun12_Exchanger_Generator_3</t>
  </si>
  <si>
    <t>Fun12_Exchanger_Generator_4</t>
  </si>
  <si>
    <t>Fun12_Exchanger_Generator_5</t>
  </si>
  <si>
    <t>Таинственная шкатулка с пряслицами</t>
  </si>
  <si>
    <t>Таинственная шкатулка с осями</t>
  </si>
  <si>
    <t>Таинственная шкатулка с опорными чашами</t>
  </si>
  <si>
    <t>Таинственная шкатулка с руно</t>
  </si>
  <si>
    <t>Fun12_Exchanger_RG_1</t>
  </si>
  <si>
    <t>Навершие</t>
  </si>
  <si>
    <t>Можно получить из Таинственной шкатулки в Тереме Королевича дома</t>
  </si>
  <si>
    <t>Fun12_Exchanger_RG_2</t>
  </si>
  <si>
    <t>Пряслице</t>
  </si>
  <si>
    <t>Fun12_Exchanger_RG_3</t>
  </si>
  <si>
    <t>Ось</t>
  </si>
  <si>
    <t>Fun12_Exchanger_RG_4</t>
  </si>
  <si>
    <t>Опорная чаша</t>
  </si>
  <si>
    <t>Fun12_Exchanger_RG_5</t>
  </si>
  <si>
    <t>Руно</t>
  </si>
  <si>
    <t>Fun12_Exchanger_R_1</t>
  </si>
  <si>
    <t>Таинственное веретено</t>
  </si>
  <si>
    <t>Собери 5 видов деталей Таинственного веретена, чтобы собрать. Используй стол пряхи в Тереме королевича</t>
  </si>
  <si>
    <t>/quest_item/Fun/Fun10/Fun10_Exchanger_RG_1.proto.js</t>
  </si>
  <si>
    <t>/quest_item/Fun/Fun10/Fun10_Exchanger_R_1.proto.js</t>
  </si>
  <si>
    <t>Fun12_Exchanger</t>
  </si>
  <si>
    <t>Столик пряхи</t>
  </si>
  <si>
    <t>Fun12_Exchanger_RG_1_Package</t>
  </si>
  <si>
    <t>Fun12_Exchanger_RG_2_Package</t>
  </si>
  <si>
    <t>Fun12_Exchanger_RG_3_Package</t>
  </si>
  <si>
    <t>Fun12_Exchanger_RG_4_Package</t>
  </si>
  <si>
    <t>Fun12_Exchanger_RG_5_Package</t>
  </si>
  <si>
    <t>Fun12_Exchanger_R_1_Package</t>
  </si>
  <si>
    <t>extra.hint_add_to_exchange</t>
  </si>
  <si>
    <t>extra.hint_get_asset</t>
  </si>
  <si>
    <t>behaviour.title_mark_workbencg</t>
  </si>
  <si>
    <t>behaviour.description_1</t>
  </si>
  <si>
    <t>Нажми на Ювелирный стол в Тронном зале Камелота и выбери вкладку \"Обмен с друзьями\". Выбери деталь ордена, которую ты хочешь обменять, и нажми \"Сохранить\".</t>
  </si>
  <si>
    <t>Бери Детали ордена из Ювелирной шкатулки в Тронном зале Камелота, чтобы найти.</t>
  </si>
  <si>
    <t>Орден рыцаря</t>
  </si>
  <si>
    <t>Если тебе нужен {0}</t>
  </si>
  <si>
    <t>Чтобы обменять Деталь ордена, собери её из Ювелирной шкатулки в Тронном зале Камелота</t>
  </si>
  <si>
    <t>Чтобы получить Орден рыцаря тебе нужны все 5 деталей ордена. Один вид ты можешь взять из Ювелирной шкатулки в Тронном зале Камелота. Чтобы получить остальные, обменивайся своими деталями с друзьями. Перейди во вкладку \"Обмен с друзьями\" и отметь недостающие детали галочкой. Недостающие детали также можно купить.</t>
  </si>
  <si>
    <t>/furniture/Fun/Fun10/Fun10_Exchanger.proto.js</t>
  </si>
  <si>
    <t>behaviour.ingredient_description</t>
  </si>
  <si>
    <t>behaviour.description_2</t>
  </si>
  <si>
    <t>/debris/Fun/Fun10/Fun10_Exchanger_Generator_2.proto.js</t>
  </si>
  <si>
    <t>/debris/Fun/Fun10/Fun10_Exchanger_Generator_3.proto.js</t>
  </si>
  <si>
    <t>/debris/Fun/Fun10/Fun10_Exchanger_Generator_4.proto.js</t>
  </si>
  <si>
    <t>/debris/Fun/Fun10/Fun10_Exchanger_Generator_5.proto.js</t>
  </si>
  <si>
    <t>/quest_item/Fun/Fun10/Fun10_Exchanger_RG_2.proto.js</t>
  </si>
  <si>
    <t>/quest_item/Fun/Fun10/Fun10_Exchanger_RG_3.proto.js</t>
  </si>
  <si>
    <t>/quest_item/Fun/Fun10/Fun10_Exchanger_RG_4.proto.js</t>
  </si>
  <si>
    <t>/quest_item/Fun/Fun10/Fun10_Exchanger_RG_5.proto.js</t>
  </si>
  <si>
    <t>/asset_package/Fun/Fun10/Fun10_Exchanger_RG_1_Package.proto.js</t>
  </si>
  <si>
    <t>/asset_package/Fun/Fun10/Fun10_Exchanger_RG_2_Package.proto.js</t>
  </si>
  <si>
    <t>/asset_package/Fun/Fun10/Fun10_Exchanger_RG_3_Package.proto.js</t>
  </si>
  <si>
    <t>/asset_package/Fun/Fun10/Fun10_Exchanger_RG_4_Package.proto.js</t>
  </si>
  <si>
    <t>/asset_package/Fun/Fun10/Fun10_Exchanger_RG_5_Package.proto.js</t>
  </si>
  <si>
    <t>/asset_package/Fun/Fun10/Fun10_Exchanger_R_1_Package.proto.js</t>
  </si>
  <si>
    <t>ignore</t>
  </si>
  <si>
    <t>reward</t>
  </si>
  <si>
    <t>price</t>
  </si>
  <si>
    <t>Количество ассетов</t>
  </si>
  <si>
    <t>stuff_icon</t>
  </si>
  <si>
    <t>asset=Fun12_Exchanger_RG_1:4</t>
  </si>
  <si>
    <t>asset=Fun12_Exchanger_RG_2:4</t>
  </si>
  <si>
    <t>asset=Fun12_Exchanger_RG_3:4</t>
  </si>
  <si>
    <t>asset=Fun12_Exchanger_RG_4:4</t>
  </si>
  <si>
    <t>asset=Fun12_Exchanger_RG_5:4</t>
  </si>
  <si>
    <t>asset=Fun12_Exchanger_R_1:1</t>
  </si>
  <si>
    <t>identifier</t>
  </si>
  <si>
    <t>ingredients</t>
  </si>
  <si>
    <t>Fun12_Exchanger_R_1_Recipe</t>
  </si>
  <si>
    <t>\recipe\Fun\Fun10\Fun10_Exchanger_R_1_Recipe.proto.js</t>
  </si>
  <si>
    <t>\recipe\Fun\Fun12\Fun12_Exchanger_R_1_Recipe.proto.js</t>
  </si>
  <si>
    <t>conditions</t>
  </si>
  <si>
    <t>stuff=Fun12_Exchanger_1</t>
  </si>
  <si>
    <t>asset=Fun12_Exchanger_RG_1:4+asset=Fun12_Exchanger_RG_2:4+asset=Fun12_Exchanger_RG_3:4+asset=Fun12_Exchanger_RG_4:4+asset=Fun12_Exchanger_RG_5:4</t>
  </si>
  <si>
    <t>АССЕТ Generator и Exchanger</t>
  </si>
  <si>
    <t>РЕЦПТ Exchanger</t>
  </si>
  <si>
    <t>ОБЪЕКТ Exchanger</t>
  </si>
  <si>
    <t>ОБЪЕКТ Generator РЕСУРСОВ</t>
  </si>
  <si>
    <t>ПАКЕТЫ ПРОДАЖИ РЕСУРСОВ Generator и Exchanger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</si>
</sst>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7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3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17" xfId="0" applyFill="1" applyBorder="1"/>
    <xf numFmtId="0" fontId="0" fillId="3" borderId="18" xfId="0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10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3" xfId="0" applyFill="1" applyBorder="1" applyAlignment="1">
      <alignment horizontal="left" vertical="top"/>
    </xf>
    <xf numFmtId="0" fontId="0" fillId="3" borderId="17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3" fillId="2" borderId="24" xfId="0" applyFont="1" applyFill="1" applyBorder="1" applyAlignment="1">
      <alignment horizontal="left" vertical="top" wrapText="1"/>
    </xf>
    <xf numFmtId="0" fontId="3" fillId="2" borderId="25" xfId="0" applyFont="1" applyFill="1" applyBorder="1" applyAlignment="1">
      <alignment horizontal="left" vertical="top" wrapText="1"/>
    </xf>
    <xf numFmtId="0" fontId="3" fillId="2" borderId="25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3" fillId="0" borderId="23" xfId="0" applyFont="1" applyBorder="1"/>
    <xf numFmtId="0" fontId="3" fillId="0" borderId="22" xfId="0" applyFont="1" applyBorder="1"/>
    <xf numFmtId="0" fontId="3" fillId="7" borderId="28" xfId="0" applyFont="1" applyFill="1" applyBorder="1"/>
    <xf numFmtId="0" fontId="3" fillId="7" borderId="29" xfId="0" applyFont="1" applyFill="1" applyBorder="1"/>
    <xf numFmtId="0" fontId="3" fillId="2" borderId="30" xfId="0" applyFont="1" applyFill="1" applyBorder="1"/>
    <xf numFmtId="0" fontId="3" fillId="2" borderId="31" xfId="0" applyFont="1" applyFill="1" applyBorder="1"/>
    <xf numFmtId="0" fontId="3" fillId="2" borderId="28" xfId="0" applyFont="1" applyFill="1" applyBorder="1"/>
    <xf numFmtId="0" fontId="3" fillId="2" borderId="29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4" fillId="0" borderId="23" xfId="0" applyFont="1" applyBorder="1"/>
    <xf numFmtId="0" fontId="3" fillId="0" borderId="34" xfId="0" applyFont="1" applyBorder="1"/>
    <xf numFmtId="0" fontId="4" fillId="0" borderId="23" xfId="0" applyFont="1" applyBorder="1" applyAlignment="1">
      <alignment horizontal="right"/>
    </xf>
    <xf numFmtId="0" fontId="4" fillId="0" borderId="22" xfId="0" applyFont="1" applyBorder="1"/>
    <xf numFmtId="0" fontId="3" fillId="0" borderId="27" xfId="0" applyFont="1" applyBorder="1"/>
    <xf numFmtId="0" fontId="4" fillId="0" borderId="22" xfId="0" applyFont="1" applyBorder="1" applyAlignment="1">
      <alignment horizontal="right"/>
    </xf>
    <xf numFmtId="0" fontId="0" fillId="3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7" borderId="28" xfId="0" applyFont="1" applyFill="1" applyBorder="1" applyAlignment="1">
      <alignment wrapText="1"/>
    </xf>
    <xf numFmtId="0" fontId="3" fillId="7" borderId="29" xfId="0" applyFont="1" applyFill="1" applyBorder="1" applyAlignment="1">
      <alignment wrapText="1"/>
    </xf>
    <xf numFmtId="0" fontId="4" fillId="0" borderId="22" xfId="0" applyFont="1" applyBorder="1" applyAlignment="1">
      <alignment wrapText="1"/>
    </xf>
    <xf numFmtId="0" fontId="4" fillId="8" borderId="35" xfId="0" applyFont="1" applyFill="1" applyBorder="1" applyAlignment="1">
      <alignment wrapText="1"/>
    </xf>
    <xf numFmtId="0" fontId="3" fillId="2" borderId="31" xfId="0" applyFont="1" applyFill="1" applyBorder="1" applyAlignment="1">
      <alignment wrapText="1"/>
    </xf>
    <xf numFmtId="0" fontId="3" fillId="0" borderId="35" xfId="0" applyFont="1" applyBorder="1" applyAlignment="1">
      <alignment wrapText="1"/>
    </xf>
    <xf numFmtId="0" fontId="3" fillId="0" borderId="31" xfId="0" applyFont="1" applyBorder="1" applyAlignment="1">
      <alignment wrapText="1"/>
    </xf>
    <xf numFmtId="0" fontId="4" fillId="0" borderId="31" xfId="0" applyFont="1" applyBorder="1" applyAlignment="1">
      <alignment wrapText="1"/>
    </xf>
    <xf numFmtId="0" fontId="3" fillId="7" borderId="36" xfId="0" applyFont="1" applyFill="1" applyBorder="1" applyAlignment="1">
      <alignment wrapText="1"/>
    </xf>
    <xf numFmtId="0" fontId="3" fillId="2" borderId="37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3" fillId="9" borderId="28" xfId="0" applyFont="1" applyFill="1" applyBorder="1" applyAlignment="1">
      <alignment wrapText="1"/>
    </xf>
    <xf numFmtId="0" fontId="3" fillId="10" borderId="30" xfId="0" applyFont="1" applyFill="1" applyBorder="1" applyAlignment="1">
      <alignment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8"/>
  <sheetViews>
    <sheetView tabSelected="1" zoomScale="70" zoomScaleNormal="70" workbookViewId="0">
      <selection activeCell="G6" sqref="G6"/>
    </sheetView>
  </sheetViews>
  <sheetFormatPr defaultRowHeight="15" x14ac:dyDescent="0.25"/>
  <cols>
    <col min="1" max="1" width="9.28515625" style="28" customWidth="1"/>
    <col min="2" max="2" width="63" style="28" customWidth="1"/>
    <col min="3" max="3" width="47" style="28" customWidth="1"/>
    <col min="4" max="4" width="30.85546875" style="28" customWidth="1"/>
    <col min="5" max="5" width="42.5703125" style="28" bestFit="1" customWidth="1"/>
    <col min="6" max="6" width="27.28515625" style="28" customWidth="1"/>
    <col min="7" max="7" width="41.85546875" style="28" customWidth="1"/>
    <col min="8" max="8" width="31.140625" style="28" customWidth="1"/>
    <col min="9" max="9" width="31.140625" style="28" bestFit="1" customWidth="1"/>
    <col min="10" max="11" width="23" style="28" bestFit="1" customWidth="1"/>
    <col min="12" max="12" width="11.85546875" style="28" customWidth="1"/>
    <col min="13" max="13" width="51.85546875" style="28" customWidth="1"/>
    <col min="14" max="14" width="29.85546875" style="28" customWidth="1"/>
    <col min="15" max="15" width="28.7109375" style="28" bestFit="1" customWidth="1"/>
    <col min="16" max="16" width="21.28515625" style="28" customWidth="1"/>
    <col min="17" max="17" width="35.140625" style="28" customWidth="1"/>
    <col min="18" max="18" width="26.5703125" style="28" customWidth="1"/>
    <col min="19" max="19" width="18.42578125" style="28" customWidth="1"/>
    <col min="20" max="16384" width="9.140625" style="28"/>
  </cols>
  <sheetData>
    <row r="1" spans="1:12" ht="15.75" thickBot="1" x14ac:dyDescent="0.3">
      <c r="B1" s="28" t="s">
        <v>142</v>
      </c>
    </row>
    <row r="2" spans="1:12" ht="15.75" thickBot="1" x14ac:dyDescent="0.3">
      <c r="A2" s="26" t="s">
        <v>15</v>
      </c>
      <c r="B2" s="27" t="s">
        <v>13</v>
      </c>
      <c r="C2" s="27" t="s">
        <v>13</v>
      </c>
      <c r="D2" s="27" t="s">
        <v>13</v>
      </c>
      <c r="E2" s="27" t="s">
        <v>13</v>
      </c>
      <c r="F2" s="27" t="s">
        <v>14</v>
      </c>
    </row>
    <row r="3" spans="1:12" ht="16.5" thickTop="1" thickBot="1" x14ac:dyDescent="0.3">
      <c r="B3" s="29" t="s">
        <v>7</v>
      </c>
      <c r="C3" s="29" t="s">
        <v>8</v>
      </c>
      <c r="D3" s="30" t="s">
        <v>0</v>
      </c>
      <c r="E3" s="31" t="s">
        <v>3</v>
      </c>
      <c r="F3" s="33" t="s">
        <v>5</v>
      </c>
    </row>
    <row r="4" spans="1:12" ht="16.5" thickTop="1" thickBot="1" x14ac:dyDescent="0.3">
      <c r="B4" s="34" t="s">
        <v>58</v>
      </c>
      <c r="C4" s="34" t="str">
        <f>"/debris/Fun/Fun12/"&amp;D4&amp;".proto.js"</f>
        <v>/debris/Fun/Fun12/Fun12_Exchanger_Generator_1.proto.js</v>
      </c>
      <c r="D4" s="35" t="s">
        <v>59</v>
      </c>
      <c r="E4" s="36" t="s">
        <v>60</v>
      </c>
      <c r="F4" s="34"/>
    </row>
    <row r="5" spans="1:12" ht="15.75" thickBot="1" x14ac:dyDescent="0.3">
      <c r="B5" s="34" t="s">
        <v>106</v>
      </c>
      <c r="C5" s="34" t="str">
        <f t="shared" ref="C5:C8" si="0">"/debris/Fun/Fun12/"&amp;D5&amp;".proto.js"</f>
        <v>/debris/Fun/Fun12/Fun12_Exchanger_Generator_2.proto.js</v>
      </c>
      <c r="D5" s="35" t="s">
        <v>61</v>
      </c>
      <c r="E5" s="35" t="s">
        <v>65</v>
      </c>
      <c r="F5" s="34"/>
    </row>
    <row r="6" spans="1:12" ht="15.75" thickBot="1" x14ac:dyDescent="0.3">
      <c r="B6" s="34" t="s">
        <v>107</v>
      </c>
      <c r="C6" s="34" t="str">
        <f t="shared" si="0"/>
        <v>/debris/Fun/Fun12/Fun12_Exchanger_Generator_3.proto.js</v>
      </c>
      <c r="D6" s="35" t="s">
        <v>62</v>
      </c>
      <c r="E6" s="35" t="s">
        <v>66</v>
      </c>
      <c r="F6" s="34"/>
    </row>
    <row r="7" spans="1:12" ht="15.75" thickBot="1" x14ac:dyDescent="0.3">
      <c r="B7" s="34" t="s">
        <v>108</v>
      </c>
      <c r="C7" s="34" t="str">
        <f t="shared" si="0"/>
        <v>/debris/Fun/Fun12/Fun12_Exchanger_Generator_4.proto.js</v>
      </c>
      <c r="D7" s="35" t="s">
        <v>63</v>
      </c>
      <c r="E7" s="35" t="s">
        <v>67</v>
      </c>
      <c r="F7" s="34"/>
    </row>
    <row r="8" spans="1:12" ht="15.75" thickBot="1" x14ac:dyDescent="0.3">
      <c r="B8" s="34" t="s">
        <v>109</v>
      </c>
      <c r="C8" s="34" t="str">
        <f t="shared" si="0"/>
        <v>/debris/Fun/Fun12/Fun12_Exchanger_Generator_5.proto.js</v>
      </c>
      <c r="D8" s="35" t="s">
        <v>64</v>
      </c>
      <c r="E8" s="35" t="s">
        <v>68</v>
      </c>
      <c r="F8" s="34"/>
    </row>
    <row r="10" spans="1:12" ht="15.75" thickBot="1" x14ac:dyDescent="0.3">
      <c r="B10" s="28" t="s">
        <v>141</v>
      </c>
    </row>
    <row r="11" spans="1:12" ht="15.75" thickBot="1" x14ac:dyDescent="0.3">
      <c r="A11" s="26" t="s">
        <v>15</v>
      </c>
      <c r="B11" s="27" t="s">
        <v>13</v>
      </c>
      <c r="C11" s="27" t="s">
        <v>13</v>
      </c>
      <c r="D11" s="27" t="s">
        <v>13</v>
      </c>
      <c r="E11" s="27" t="s">
        <v>13</v>
      </c>
      <c r="F11" s="27" t="s">
        <v>13</v>
      </c>
      <c r="G11" s="27" t="s">
        <v>13</v>
      </c>
      <c r="H11" s="41" t="s">
        <v>13</v>
      </c>
      <c r="I11" s="42" t="s">
        <v>13</v>
      </c>
      <c r="J11" s="42" t="s">
        <v>13</v>
      </c>
      <c r="K11" s="42" t="s">
        <v>13</v>
      </c>
      <c r="L11" s="42" t="s">
        <v>14</v>
      </c>
    </row>
    <row r="12" spans="1:12" ht="16.5" thickTop="1" thickBot="1" x14ac:dyDescent="0.3">
      <c r="B12" s="29" t="s">
        <v>7</v>
      </c>
      <c r="C12" s="29" t="s">
        <v>8</v>
      </c>
      <c r="D12" s="30" t="s">
        <v>0</v>
      </c>
      <c r="E12" s="31" t="s">
        <v>3</v>
      </c>
      <c r="F12" s="32" t="s">
        <v>93</v>
      </c>
      <c r="G12" s="33" t="s">
        <v>94</v>
      </c>
      <c r="H12" s="43" t="s">
        <v>95</v>
      </c>
      <c r="I12" s="45" t="s">
        <v>104</v>
      </c>
      <c r="J12" s="46" t="s">
        <v>96</v>
      </c>
      <c r="K12" s="46" t="s">
        <v>105</v>
      </c>
      <c r="L12" s="44" t="s">
        <v>5</v>
      </c>
    </row>
    <row r="13" spans="1:12" x14ac:dyDescent="0.25">
      <c r="B13" s="28" t="s">
        <v>103</v>
      </c>
      <c r="C13" s="34" t="str">
        <f>"/furniture/Fun/Fun12/"&amp;D13&amp;".proto.js"</f>
        <v>/furniture/Fun/Fun12/Fun12_Exchanger.proto.js</v>
      </c>
      <c r="D13" t="s">
        <v>85</v>
      </c>
      <c r="E13" t="s">
        <v>86</v>
      </c>
      <c r="F13" t="s">
        <v>97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  <c r="L13" s="34"/>
    </row>
    <row r="15" spans="1:12" ht="15.75" thickBot="1" x14ac:dyDescent="0.3">
      <c r="B15" s="28" t="s">
        <v>139</v>
      </c>
    </row>
    <row r="16" spans="1:12" ht="15.75" thickBot="1" x14ac:dyDescent="0.3">
      <c r="A16" s="26" t="s">
        <v>15</v>
      </c>
      <c r="B16" s="27" t="s">
        <v>13</v>
      </c>
      <c r="C16" s="27" t="s">
        <v>13</v>
      </c>
      <c r="D16" s="27" t="s">
        <v>13</v>
      </c>
      <c r="E16" s="27" t="s">
        <v>13</v>
      </c>
      <c r="F16" s="27" t="s">
        <v>13</v>
      </c>
      <c r="G16" s="27" t="s">
        <v>13</v>
      </c>
      <c r="H16" s="27" t="s">
        <v>14</v>
      </c>
    </row>
    <row r="17" spans="1:43" ht="16.5" thickTop="1" thickBot="1" x14ac:dyDescent="0.3">
      <c r="B17" s="29" t="s">
        <v>7</v>
      </c>
      <c r="C17" s="29" t="s">
        <v>8</v>
      </c>
      <c r="D17" s="30" t="s">
        <v>0</v>
      </c>
      <c r="E17" s="31" t="s">
        <v>3</v>
      </c>
      <c r="F17" s="32" t="s">
        <v>56</v>
      </c>
      <c r="G17" s="33" t="s">
        <v>57</v>
      </c>
      <c r="H17" s="33" t="s">
        <v>5</v>
      </c>
    </row>
    <row r="18" spans="1:43" ht="15.75" thickBot="1" x14ac:dyDescent="0.3">
      <c r="B18" s="28" t="s">
        <v>83</v>
      </c>
      <c r="C18" s="34" t="str">
        <f>"/quest_item/Fun/Fun12/"&amp;D18&amp;".proto.js"</f>
        <v>/quest_item/Fun/Fun12/Fun12_Exchanger_RG_1.proto.js</v>
      </c>
      <c r="D18" s="35" t="s">
        <v>69</v>
      </c>
      <c r="E18" s="35" t="s">
        <v>70</v>
      </c>
      <c r="F18" s="37" t="s">
        <v>71</v>
      </c>
      <c r="G18" s="34" t="str">
        <f>"pack_asset="&amp;D18&amp;"_Package"</f>
        <v>pack_asset=Fun12_Exchanger_RG_1_Package</v>
      </c>
      <c r="H18" s="34"/>
    </row>
    <row r="19" spans="1:43" ht="15.75" thickBot="1" x14ac:dyDescent="0.3">
      <c r="B19" s="28" t="s">
        <v>110</v>
      </c>
      <c r="C19" s="34" t="str">
        <f t="shared" ref="C19:C23" si="1">"/quest_item/Fun/Fun12/"&amp;D19&amp;".proto.js"</f>
        <v>/quest_item/Fun/Fun12/Fun12_Exchanger_RG_2.proto.js</v>
      </c>
      <c r="D19" s="35" t="s">
        <v>72</v>
      </c>
      <c r="E19" s="35" t="s">
        <v>73</v>
      </c>
      <c r="F19" s="37" t="s">
        <v>71</v>
      </c>
      <c r="G19" s="34" t="str">
        <f t="shared" ref="G19:G23" si="2">"pack_asset="&amp;D19&amp;"_Package"</f>
        <v>pack_asset=Fun12_Exchanger_RG_2_Package</v>
      </c>
      <c r="H19" s="34"/>
    </row>
    <row r="20" spans="1:43" ht="15.75" thickBot="1" x14ac:dyDescent="0.3">
      <c r="B20" s="28" t="s">
        <v>111</v>
      </c>
      <c r="C20" s="34" t="str">
        <f t="shared" si="1"/>
        <v>/quest_item/Fun/Fun12/Fun12_Exchanger_RG_3.proto.js</v>
      </c>
      <c r="D20" s="35" t="s">
        <v>74</v>
      </c>
      <c r="E20" s="35" t="s">
        <v>75</v>
      </c>
      <c r="F20" s="37" t="s">
        <v>71</v>
      </c>
      <c r="G20" s="34" t="str">
        <f t="shared" si="2"/>
        <v>pack_asset=Fun12_Exchanger_RG_3_Package</v>
      </c>
      <c r="H20" s="34"/>
    </row>
    <row r="21" spans="1:43" ht="15.75" thickBot="1" x14ac:dyDescent="0.3">
      <c r="B21" s="28" t="s">
        <v>112</v>
      </c>
      <c r="C21" s="34" t="str">
        <f t="shared" si="1"/>
        <v>/quest_item/Fun/Fun12/Fun12_Exchanger_RG_4.proto.js</v>
      </c>
      <c r="D21" s="35" t="s">
        <v>76</v>
      </c>
      <c r="E21" s="35" t="s">
        <v>77</v>
      </c>
      <c r="F21" s="37" t="s">
        <v>71</v>
      </c>
      <c r="G21" s="34" t="str">
        <f t="shared" si="2"/>
        <v>pack_asset=Fun12_Exchanger_RG_4_Package</v>
      </c>
      <c r="H21" s="34"/>
    </row>
    <row r="22" spans="1:43" ht="15.75" thickBot="1" x14ac:dyDescent="0.3">
      <c r="B22" s="28" t="s">
        <v>113</v>
      </c>
      <c r="C22" s="34" t="str">
        <f t="shared" si="1"/>
        <v>/quest_item/Fun/Fun12/Fun12_Exchanger_RG_5.proto.js</v>
      </c>
      <c r="D22" s="35" t="s">
        <v>78</v>
      </c>
      <c r="E22" s="35" t="s">
        <v>79</v>
      </c>
      <c r="F22" s="37" t="s">
        <v>71</v>
      </c>
      <c r="G22" s="34" t="str">
        <f t="shared" si="2"/>
        <v>pack_asset=Fun12_Exchanger_RG_5_Package</v>
      </c>
      <c r="H22" s="34"/>
    </row>
    <row r="23" spans="1:43" ht="15.75" thickBot="1" x14ac:dyDescent="0.3">
      <c r="B23" s="28" t="s">
        <v>84</v>
      </c>
      <c r="C23" s="34" t="str">
        <f t="shared" si="1"/>
        <v>/quest_item/Fun/Fun12/Fun12_Exchanger_R_1.proto.js</v>
      </c>
      <c r="D23" s="35" t="s">
        <v>80</v>
      </c>
      <c r="E23" s="38" t="s">
        <v>81</v>
      </c>
      <c r="F23" s="35" t="s">
        <v>82</v>
      </c>
      <c r="G23" s="34" t="str">
        <f t="shared" si="2"/>
        <v>pack_asset=Fun12_Exchanger_R_1_Package</v>
      </c>
      <c r="H23" s="34"/>
    </row>
    <row r="25" spans="1:43" ht="15.75" thickBot="1" x14ac:dyDescent="0.3">
      <c r="B25" s="28" t="s">
        <v>140</v>
      </c>
    </row>
    <row r="26" spans="1:43" ht="15.75" thickBot="1" x14ac:dyDescent="0.3">
      <c r="A26" s="61" t="s">
        <v>15</v>
      </c>
      <c r="B26" s="62" t="s">
        <v>13</v>
      </c>
      <c r="C26" s="62" t="s">
        <v>13</v>
      </c>
      <c r="D26" s="62" t="s">
        <v>13</v>
      </c>
      <c r="E26" s="62" t="s">
        <v>13</v>
      </c>
      <c r="F26" s="62" t="s">
        <v>13</v>
      </c>
      <c r="G26" s="73" t="s">
        <v>13</v>
      </c>
      <c r="H26" s="69" t="s">
        <v>14</v>
      </c>
      <c r="I26" s="71"/>
      <c r="J26" s="71"/>
      <c r="K26" s="71"/>
      <c r="L26" s="71"/>
      <c r="M26" s="71"/>
      <c r="N26" s="71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</row>
    <row r="27" spans="1:43" ht="15.75" thickBot="1" x14ac:dyDescent="0.3">
      <c r="A27" s="64"/>
      <c r="B27" s="65" t="s">
        <v>7</v>
      </c>
      <c r="C27" s="65" t="s">
        <v>8</v>
      </c>
      <c r="D27" s="65" t="s">
        <v>131</v>
      </c>
      <c r="E27" s="65" t="s">
        <v>121</v>
      </c>
      <c r="F27" s="65" t="s">
        <v>132</v>
      </c>
      <c r="G27" s="74" t="s">
        <v>136</v>
      </c>
      <c r="H27" s="70" t="s">
        <v>5</v>
      </c>
      <c r="I27" s="71"/>
      <c r="J27" s="71"/>
      <c r="K27" s="71"/>
      <c r="L27" s="71"/>
      <c r="M27" s="71"/>
      <c r="N27" s="71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</row>
    <row r="28" spans="1:43" ht="90.75" thickBot="1" x14ac:dyDescent="0.3">
      <c r="A28" s="66"/>
      <c r="B28" s="48" t="s">
        <v>134</v>
      </c>
      <c r="C28" s="67" t="s">
        <v>135</v>
      </c>
      <c r="D28" s="68" t="s">
        <v>133</v>
      </c>
      <c r="E28" s="68" t="s">
        <v>130</v>
      </c>
      <c r="F28" s="67" t="s">
        <v>138</v>
      </c>
      <c r="G28" s="67" t="s">
        <v>137</v>
      </c>
      <c r="H28" s="67"/>
      <c r="I28" s="72"/>
      <c r="J28" s="72"/>
      <c r="K28" s="72"/>
      <c r="L28" s="72"/>
      <c r="M28" s="72"/>
      <c r="N28" s="72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</row>
    <row r="30" spans="1:43" ht="15.75" thickBot="1" x14ac:dyDescent="0.3">
      <c r="B30" s="28" t="s">
        <v>143</v>
      </c>
    </row>
    <row r="31" spans="1:43" ht="15.75" thickBot="1" x14ac:dyDescent="0.3">
      <c r="A31" s="26" t="s">
        <v>15</v>
      </c>
      <c r="B31" s="27" t="s">
        <v>13</v>
      </c>
      <c r="C31" s="27" t="s">
        <v>13</v>
      </c>
      <c r="D31" s="41" t="s">
        <v>13</v>
      </c>
      <c r="E31" s="42" t="s">
        <v>120</v>
      </c>
      <c r="F31" s="42" t="s">
        <v>13</v>
      </c>
      <c r="G31" s="42" t="s">
        <v>13</v>
      </c>
      <c r="H31" s="42" t="s">
        <v>14</v>
      </c>
      <c r="I31" s="42" t="s">
        <v>120</v>
      </c>
      <c r="J31" s="42" t="s">
        <v>13</v>
      </c>
      <c r="K31" s="42" t="s">
        <v>14</v>
      </c>
    </row>
    <row r="32" spans="1:43" ht="15.75" thickBot="1" x14ac:dyDescent="0.3">
      <c r="B32" s="29" t="s">
        <v>7</v>
      </c>
      <c r="C32" s="29" t="s">
        <v>8</v>
      </c>
      <c r="D32" s="43" t="s">
        <v>0</v>
      </c>
      <c r="E32" s="44" t="s">
        <v>11</v>
      </c>
      <c r="F32" s="44" t="s">
        <v>3</v>
      </c>
      <c r="G32" s="44" t="s">
        <v>121</v>
      </c>
      <c r="H32" s="44" t="s">
        <v>122</v>
      </c>
      <c r="I32" s="44" t="s">
        <v>123</v>
      </c>
      <c r="J32" s="44" t="s">
        <v>124</v>
      </c>
      <c r="K32" s="44" t="s">
        <v>5</v>
      </c>
    </row>
    <row r="33" spans="2:11" ht="15.75" thickBot="1" x14ac:dyDescent="0.3">
      <c r="B33" s="47" t="s">
        <v>114</v>
      </c>
      <c r="C33" s="34" t="str">
        <f>"/asset_package/Fun/Fun12/"&amp;D33&amp;".proto.js"</f>
        <v>/asset_package/Fun/Fun12/Fun12_Exchanger_RG_1_Package.proto.js</v>
      </c>
      <c r="D33" s="39" t="s">
        <v>87</v>
      </c>
      <c r="E33" s="49" t="s">
        <v>69</v>
      </c>
      <c r="F33" s="39" t="s">
        <v>70</v>
      </c>
      <c r="G33" s="50" t="s">
        <v>125</v>
      </c>
      <c r="H33" s="51">
        <v>3</v>
      </c>
      <c r="I33" s="51">
        <v>4</v>
      </c>
      <c r="J33" s="49" t="s">
        <v>69</v>
      </c>
      <c r="K33" s="34"/>
    </row>
    <row r="34" spans="2:11" ht="15.75" thickBot="1" x14ac:dyDescent="0.3">
      <c r="B34" s="48" t="s">
        <v>115</v>
      </c>
      <c r="C34" s="34" t="str">
        <f t="shared" ref="C34:C38" si="3">"/asset_package/Fun/Fun12/"&amp;D34&amp;".proto.js"</f>
        <v>/asset_package/Fun/Fun12/Fun12_Exchanger_RG_2_Package.proto.js</v>
      </c>
      <c r="D34" s="40" t="s">
        <v>88</v>
      </c>
      <c r="E34" s="52" t="s">
        <v>72</v>
      </c>
      <c r="F34" s="40" t="s">
        <v>73</v>
      </c>
      <c r="G34" s="53" t="s">
        <v>126</v>
      </c>
      <c r="H34" s="54">
        <v>3</v>
      </c>
      <c r="I34" s="54">
        <v>4</v>
      </c>
      <c r="J34" s="52" t="s">
        <v>72</v>
      </c>
      <c r="K34" s="34"/>
    </row>
    <row r="35" spans="2:11" ht="15.75" thickBot="1" x14ac:dyDescent="0.3">
      <c r="B35" s="48" t="s">
        <v>116</v>
      </c>
      <c r="C35" s="34" t="str">
        <f t="shared" si="3"/>
        <v>/asset_package/Fun/Fun12/Fun12_Exchanger_RG_3_Package.proto.js</v>
      </c>
      <c r="D35" s="40" t="s">
        <v>89</v>
      </c>
      <c r="E35" s="52" t="s">
        <v>74</v>
      </c>
      <c r="F35" s="40" t="s">
        <v>75</v>
      </c>
      <c r="G35" s="53" t="s">
        <v>127</v>
      </c>
      <c r="H35" s="54">
        <v>3</v>
      </c>
      <c r="I35" s="54">
        <v>4</v>
      </c>
      <c r="J35" s="52" t="s">
        <v>74</v>
      </c>
      <c r="K35" s="34"/>
    </row>
    <row r="36" spans="2:11" ht="15.75" thickBot="1" x14ac:dyDescent="0.3">
      <c r="B36" s="48" t="s">
        <v>117</v>
      </c>
      <c r="C36" s="34" t="str">
        <f t="shared" si="3"/>
        <v>/asset_package/Fun/Fun12/Fun12_Exchanger_RG_4_Package.proto.js</v>
      </c>
      <c r="D36" s="40" t="s">
        <v>90</v>
      </c>
      <c r="E36" s="52" t="s">
        <v>76</v>
      </c>
      <c r="F36" s="40" t="s">
        <v>77</v>
      </c>
      <c r="G36" s="53" t="s">
        <v>128</v>
      </c>
      <c r="H36" s="54">
        <v>3</v>
      </c>
      <c r="I36" s="54">
        <v>4</v>
      </c>
      <c r="J36" s="52" t="s">
        <v>76</v>
      </c>
      <c r="K36" s="34"/>
    </row>
    <row r="37" spans="2:11" ht="15.75" thickBot="1" x14ac:dyDescent="0.3">
      <c r="B37" s="48" t="s">
        <v>118</v>
      </c>
      <c r="C37" s="34" t="str">
        <f t="shared" si="3"/>
        <v>/asset_package/Fun/Fun12/Fun12_Exchanger_RG_5_Package.proto.js</v>
      </c>
      <c r="D37" s="40" t="s">
        <v>91</v>
      </c>
      <c r="E37" s="52" t="s">
        <v>78</v>
      </c>
      <c r="F37" s="40" t="s">
        <v>79</v>
      </c>
      <c r="G37" s="53" t="s">
        <v>129</v>
      </c>
      <c r="H37" s="54">
        <v>3</v>
      </c>
      <c r="I37" s="54">
        <v>4</v>
      </c>
      <c r="J37" s="52" t="s">
        <v>78</v>
      </c>
      <c r="K37" s="34"/>
    </row>
    <row r="38" spans="2:11" ht="15.75" thickBot="1" x14ac:dyDescent="0.3">
      <c r="B38" s="48" t="s">
        <v>119</v>
      </c>
      <c r="C38" s="34" t="str">
        <f t="shared" si="3"/>
        <v>/asset_package/Fun/Fun12/Fun12_Exchanger_R_1_Package.proto.js</v>
      </c>
      <c r="D38" s="40" t="s">
        <v>92</v>
      </c>
      <c r="E38" s="40" t="s">
        <v>80</v>
      </c>
      <c r="F38" s="52" t="s">
        <v>81</v>
      </c>
      <c r="G38" s="53" t="s">
        <v>130</v>
      </c>
      <c r="H38" s="54">
        <v>15</v>
      </c>
      <c r="I38" s="54">
        <v>1</v>
      </c>
      <c r="J38" s="52" t="s">
        <v>80</v>
      </c>
      <c r="K38" s="3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F3" sqref="F3:G3"/>
    </sheetView>
  </sheetViews>
  <sheetFormatPr defaultRowHeight="15" x14ac:dyDescent="0.25"/>
  <cols>
    <col min="1" max="1" width="14.28515625" customWidth="1"/>
    <col min="2" max="2" width="40.140625" bestFit="1" customWidth="1"/>
    <col min="3" max="3" width="44.42578125" bestFit="1" customWidth="1"/>
    <col min="4" max="4" width="30.28515625" bestFit="1" customWidth="1"/>
    <col min="5" max="5" width="10.28515625" bestFit="1" customWidth="1"/>
    <col min="6" max="8" width="22" bestFit="1" customWidth="1"/>
  </cols>
  <sheetData>
    <row r="1" spans="1:9" ht="15.75" thickBot="1" x14ac:dyDescent="0.3"/>
    <row r="2" spans="1:9" ht="15.75" thickBot="1" x14ac:dyDescent="0.3">
      <c r="A2" s="9" t="s">
        <v>15</v>
      </c>
      <c r="B2" s="18" t="s">
        <v>13</v>
      </c>
      <c r="C2" s="18" t="s">
        <v>13</v>
      </c>
      <c r="D2" s="19" t="s">
        <v>13</v>
      </c>
      <c r="E2" s="13" t="s">
        <v>13</v>
      </c>
      <c r="F2" s="55" t="s">
        <v>24</v>
      </c>
      <c r="G2" s="55"/>
      <c r="H2" s="14" t="s">
        <v>14</v>
      </c>
    </row>
    <row r="3" spans="1:9" x14ac:dyDescent="0.25">
      <c r="B3" s="15" t="s">
        <v>7</v>
      </c>
      <c r="C3" s="16" t="s">
        <v>8</v>
      </c>
      <c r="D3" s="16" t="s">
        <v>0</v>
      </c>
      <c r="E3" s="16" t="s">
        <v>3</v>
      </c>
      <c r="F3" s="56" t="s">
        <v>21</v>
      </c>
      <c r="G3" s="56"/>
      <c r="H3" s="17" t="s">
        <v>5</v>
      </c>
    </row>
    <row r="4" spans="1:9" x14ac:dyDescent="0.25">
      <c r="B4" s="4" t="s">
        <v>2</v>
      </c>
      <c r="C4" s="2" t="str">
        <f>"/build/"&amp;D4&amp;".proto.js"</f>
        <v>/build/Fun11_Restoration_Generator_1.proto.js</v>
      </c>
      <c r="D4" s="2" t="s">
        <v>26</v>
      </c>
      <c r="E4" s="2" t="s">
        <v>4</v>
      </c>
      <c r="F4" s="2" t="s">
        <v>22</v>
      </c>
      <c r="G4" s="2" t="s">
        <v>23</v>
      </c>
      <c r="H4" s="5">
        <v>67403</v>
      </c>
    </row>
    <row r="5" spans="1:9" ht="15.75" thickBot="1" x14ac:dyDescent="0.3">
      <c r="B5" s="6" t="s">
        <v>2</v>
      </c>
      <c r="C5" s="7" t="str">
        <f>"/build/"&amp;D5&amp;".proto.js"</f>
        <v>/build/Fun11_Restoration_Generator_2.proto.js</v>
      </c>
      <c r="D5" s="7" t="s">
        <v>6</v>
      </c>
      <c r="E5" s="7" t="s">
        <v>4</v>
      </c>
      <c r="F5" s="7">
        <v>10</v>
      </c>
      <c r="G5" s="7">
        <v>5</v>
      </c>
      <c r="H5" s="8">
        <v>67404</v>
      </c>
    </row>
    <row r="8" spans="1:9" ht="15.75" thickBot="1" x14ac:dyDescent="0.3"/>
    <row r="9" spans="1:9" ht="15.75" thickBot="1" x14ac:dyDescent="0.3">
      <c r="A9" s="9" t="s">
        <v>15</v>
      </c>
      <c r="B9" s="18" t="s">
        <v>13</v>
      </c>
      <c r="C9" s="18" t="s">
        <v>13</v>
      </c>
      <c r="D9" s="18" t="s">
        <v>13</v>
      </c>
      <c r="E9" s="18" t="s">
        <v>13</v>
      </c>
      <c r="F9" s="14" t="s">
        <v>14</v>
      </c>
    </row>
    <row r="10" spans="1:9" x14ac:dyDescent="0.25">
      <c r="B10" s="15" t="s">
        <v>7</v>
      </c>
      <c r="C10" s="16" t="s">
        <v>8</v>
      </c>
      <c r="D10" s="16" t="s">
        <v>0</v>
      </c>
      <c r="E10" s="16" t="s">
        <v>3</v>
      </c>
      <c r="F10" s="17" t="s">
        <v>5</v>
      </c>
    </row>
    <row r="11" spans="1:9" x14ac:dyDescent="0.25">
      <c r="B11" s="4" t="s">
        <v>2</v>
      </c>
      <c r="C11" s="2" t="str">
        <f>"/build/"&amp;D11&amp;".proto.js"</f>
        <v>/build/Fun11_Restoration_Generator_3.proto.js</v>
      </c>
      <c r="D11" s="2" t="s">
        <v>25</v>
      </c>
      <c r="E11" s="2" t="s">
        <v>4</v>
      </c>
      <c r="F11" s="5">
        <v>67403</v>
      </c>
    </row>
    <row r="12" spans="1:9" x14ac:dyDescent="0.25">
      <c r="B12" s="4" t="s">
        <v>2</v>
      </c>
      <c r="C12" s="2" t="str">
        <f>"/build/"&amp;D12&amp;".proto.js"</f>
        <v>/build/Fun11_Restoration_Generator_4.proto.js</v>
      </c>
      <c r="D12" s="2" t="s">
        <v>27</v>
      </c>
      <c r="E12" s="2" t="s">
        <v>4</v>
      </c>
      <c r="F12" s="5">
        <v>67404</v>
      </c>
    </row>
    <row r="13" spans="1:9" ht="15.75" thickBot="1" x14ac:dyDescent="0.3">
      <c r="B13" s="6" t="s">
        <v>2</v>
      </c>
      <c r="C13" s="7" t="str">
        <f>"/build/"&amp;D13&amp;".proto.js"</f>
        <v>/build/Fun11_Restoration_Generator_5.proto.js</v>
      </c>
      <c r="D13" s="7" t="s">
        <v>28</v>
      </c>
      <c r="E13" s="7" t="s">
        <v>4</v>
      </c>
      <c r="F13" s="8">
        <v>67405</v>
      </c>
    </row>
    <row r="15" spans="1:9" ht="15.75" thickBot="1" x14ac:dyDescent="0.3"/>
    <row r="16" spans="1:9" ht="15.75" thickBot="1" x14ac:dyDescent="0.3">
      <c r="A16" s="11" t="s">
        <v>20</v>
      </c>
      <c r="B16" s="12" t="s">
        <v>13</v>
      </c>
      <c r="C16" s="12" t="s">
        <v>13</v>
      </c>
      <c r="D16" s="12" t="s">
        <v>13</v>
      </c>
      <c r="E16" s="12" t="s">
        <v>13</v>
      </c>
      <c r="F16" s="57" t="s">
        <v>16</v>
      </c>
      <c r="G16" s="57"/>
      <c r="H16" s="57"/>
      <c r="I16" s="10" t="s">
        <v>14</v>
      </c>
    </row>
    <row r="17" spans="2:9" x14ac:dyDescent="0.25">
      <c r="B17" s="3" t="s">
        <v>7</v>
      </c>
      <c r="C17" s="3" t="s">
        <v>8</v>
      </c>
      <c r="D17" s="3" t="s">
        <v>0</v>
      </c>
      <c r="E17" s="3" t="s">
        <v>3</v>
      </c>
      <c r="F17" s="58" t="s">
        <v>9</v>
      </c>
      <c r="G17" s="59"/>
      <c r="H17" s="60"/>
      <c r="I17" s="3" t="s">
        <v>5</v>
      </c>
    </row>
    <row r="18" spans="2:9" ht="15.75" thickBot="1" x14ac:dyDescent="0.3">
      <c r="B18" s="2" t="s">
        <v>2</v>
      </c>
      <c r="C18" s="2" t="str">
        <f>"/build/"&amp;D18&amp;".proto.js"</f>
        <v>/build/Fun11_Restoration_Generator.proto.js</v>
      </c>
      <c r="D18" s="7" t="s">
        <v>1</v>
      </c>
      <c r="E18" s="2" t="s">
        <v>4</v>
      </c>
      <c r="F18" s="1" t="s">
        <v>10</v>
      </c>
      <c r="G18" s="1" t="s">
        <v>10</v>
      </c>
      <c r="H18" s="1" t="s">
        <v>10</v>
      </c>
      <c r="I18" s="2">
        <v>67408</v>
      </c>
    </row>
    <row r="19" spans="2:9" x14ac:dyDescent="0.25">
      <c r="F19" s="2">
        <v>20</v>
      </c>
      <c r="G19" s="2">
        <v>21</v>
      </c>
      <c r="H19" s="2">
        <v>22</v>
      </c>
    </row>
    <row r="20" spans="2:9" x14ac:dyDescent="0.25">
      <c r="F20" s="3" t="s">
        <v>11</v>
      </c>
      <c r="G20" s="3" t="s">
        <v>11</v>
      </c>
      <c r="H20" s="3" t="s">
        <v>11</v>
      </c>
    </row>
    <row r="21" spans="2:9" x14ac:dyDescent="0.25">
      <c r="F21" s="2" t="s">
        <v>17</v>
      </c>
      <c r="G21" s="2" t="s">
        <v>18</v>
      </c>
      <c r="H21" s="2" t="s">
        <v>19</v>
      </c>
    </row>
    <row r="22" spans="2:9" x14ac:dyDescent="0.25">
      <c r="F22" s="1" t="s">
        <v>12</v>
      </c>
      <c r="G22" s="1" t="s">
        <v>12</v>
      </c>
      <c r="H22" s="1" t="s">
        <v>12</v>
      </c>
    </row>
    <row r="23" spans="2:9" x14ac:dyDescent="0.25">
      <c r="F23" s="2">
        <v>1</v>
      </c>
      <c r="G23" s="2">
        <v>2</v>
      </c>
      <c r="H23" s="2">
        <v>3</v>
      </c>
    </row>
  </sheetData>
  <mergeCells count="4">
    <mergeCell ref="F2:G2"/>
    <mergeCell ref="F3:G3"/>
    <mergeCell ref="F16:H16"/>
    <mergeCell ref="F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>
      <selection activeCell="A22" sqref="A22:B22"/>
    </sheetView>
  </sheetViews>
  <sheetFormatPr defaultRowHeight="15" x14ac:dyDescent="0.25"/>
  <cols>
    <col min="1" max="1" width="22.140625" bestFit="1" customWidth="1"/>
    <col min="2" max="3" width="22" bestFit="1" customWidth="1"/>
    <col min="4" max="4" width="6" bestFit="1" customWidth="1"/>
    <col min="7" max="7" width="10.28515625" bestFit="1" customWidth="1"/>
    <col min="9" max="9" width="11.7109375" customWidth="1"/>
    <col min="10" max="10" width="109.5703125" bestFit="1" customWidth="1"/>
  </cols>
  <sheetData>
    <row r="1" spans="1:11" ht="15.75" thickBot="1" x14ac:dyDescent="0.3">
      <c r="A1" s="12" t="s">
        <v>31</v>
      </c>
      <c r="B1" s="24"/>
      <c r="D1" s="10" t="s">
        <v>14</v>
      </c>
      <c r="E1" s="25"/>
      <c r="G1" s="12" t="s">
        <v>13</v>
      </c>
      <c r="H1" s="25"/>
      <c r="J1" s="12" t="s">
        <v>30</v>
      </c>
      <c r="K1" s="24"/>
    </row>
    <row r="2" spans="1:11" x14ac:dyDescent="0.25">
      <c r="A2" s="3" t="s">
        <v>50</v>
      </c>
      <c r="B2" s="24"/>
      <c r="D2" s="3" t="s">
        <v>5</v>
      </c>
      <c r="E2" s="25"/>
      <c r="G2" s="3" t="s">
        <v>3</v>
      </c>
      <c r="H2" s="25"/>
      <c r="J2" s="3" t="s">
        <v>29</v>
      </c>
      <c r="K2" s="24"/>
    </row>
    <row r="3" spans="1:11" x14ac:dyDescent="0.25">
      <c r="A3" s="20" t="s">
        <v>51</v>
      </c>
      <c r="B3" s="24"/>
      <c r="D3" s="2">
        <v>67408</v>
      </c>
      <c r="E3" s="25"/>
      <c r="G3" s="2" t="s">
        <v>4</v>
      </c>
      <c r="H3" s="25"/>
      <c r="J3" s="1" t="s">
        <v>32</v>
      </c>
      <c r="K3" s="24"/>
    </row>
    <row r="4" spans="1:11" x14ac:dyDescent="0.25">
      <c r="A4" s="21" t="s">
        <v>52</v>
      </c>
      <c r="B4" s="24"/>
      <c r="J4" s="2">
        <v>1</v>
      </c>
      <c r="K4" s="24"/>
    </row>
    <row r="5" spans="1:11" x14ac:dyDescent="0.25">
      <c r="A5" s="20" t="s">
        <v>53</v>
      </c>
      <c r="B5" s="24"/>
      <c r="J5" s="1" t="s">
        <v>33</v>
      </c>
      <c r="K5" s="24"/>
    </row>
    <row r="6" spans="1:11" x14ac:dyDescent="0.25">
      <c r="A6" s="20" t="s">
        <v>54</v>
      </c>
      <c r="B6" s="24"/>
      <c r="J6" s="2">
        <v>1</v>
      </c>
      <c r="K6" s="24"/>
    </row>
    <row r="7" spans="1:11" ht="15.75" thickBot="1" x14ac:dyDescent="0.3">
      <c r="A7" s="22" t="s">
        <v>55</v>
      </c>
      <c r="B7" s="24"/>
      <c r="J7" s="1" t="s">
        <v>34</v>
      </c>
      <c r="K7" s="24"/>
    </row>
    <row r="8" spans="1:11" x14ac:dyDescent="0.25">
      <c r="J8" s="2" t="s">
        <v>43</v>
      </c>
      <c r="K8" s="24"/>
    </row>
    <row r="9" spans="1:11" ht="15.75" thickBot="1" x14ac:dyDescent="0.3">
      <c r="J9" s="1" t="s">
        <v>35</v>
      </c>
      <c r="K9" s="24"/>
    </row>
    <row r="10" spans="1:11" ht="15.75" thickBot="1" x14ac:dyDescent="0.3">
      <c r="A10" s="57" t="s">
        <v>16</v>
      </c>
      <c r="B10" s="57"/>
      <c r="C10" s="57"/>
      <c r="D10" s="23"/>
      <c r="J10" s="2" t="s">
        <v>44</v>
      </c>
      <c r="K10" s="24"/>
    </row>
    <row r="11" spans="1:11" x14ac:dyDescent="0.25">
      <c r="A11" s="58" t="s">
        <v>9</v>
      </c>
      <c r="B11" s="59"/>
      <c r="C11" s="60"/>
      <c r="D11" s="23"/>
      <c r="J11" s="1" t="s">
        <v>36</v>
      </c>
      <c r="K11" s="24"/>
    </row>
    <row r="12" spans="1:11" x14ac:dyDescent="0.25">
      <c r="A12" s="1" t="s">
        <v>10</v>
      </c>
      <c r="B12" s="1" t="s">
        <v>10</v>
      </c>
      <c r="C12" s="1" t="s">
        <v>10</v>
      </c>
      <c r="D12" s="23"/>
      <c r="J12" s="2" t="s">
        <v>45</v>
      </c>
      <c r="K12" s="24"/>
    </row>
    <row r="13" spans="1:11" x14ac:dyDescent="0.25">
      <c r="A13" s="2">
        <v>20</v>
      </c>
      <c r="B13" s="2">
        <v>21</v>
      </c>
      <c r="C13" s="2">
        <v>22</v>
      </c>
      <c r="D13" s="23"/>
      <c r="J13" s="1" t="s">
        <v>37</v>
      </c>
      <c r="K13" s="24"/>
    </row>
    <row r="14" spans="1:11" x14ac:dyDescent="0.25">
      <c r="A14" s="3" t="s">
        <v>11</v>
      </c>
      <c r="B14" s="3" t="s">
        <v>11</v>
      </c>
      <c r="C14" s="3" t="s">
        <v>11</v>
      </c>
      <c r="D14" s="23"/>
      <c r="J14" s="2" t="s">
        <v>46</v>
      </c>
      <c r="K14" s="24"/>
    </row>
    <row r="15" spans="1:11" x14ac:dyDescent="0.25">
      <c r="A15" s="2" t="s">
        <v>17</v>
      </c>
      <c r="B15" s="2" t="s">
        <v>18</v>
      </c>
      <c r="C15" s="2" t="s">
        <v>19</v>
      </c>
      <c r="D15" s="23"/>
      <c r="J15" s="1" t="s">
        <v>38</v>
      </c>
      <c r="K15" s="24"/>
    </row>
    <row r="16" spans="1:11" x14ac:dyDescent="0.25">
      <c r="A16" s="1" t="s">
        <v>12</v>
      </c>
      <c r="B16" s="1" t="s">
        <v>12</v>
      </c>
      <c r="C16" s="1" t="s">
        <v>12</v>
      </c>
      <c r="D16" s="23"/>
      <c r="J16" s="2" t="s">
        <v>47</v>
      </c>
      <c r="K16" s="24"/>
    </row>
    <row r="17" spans="1:11" x14ac:dyDescent="0.25">
      <c r="A17" s="2">
        <v>1</v>
      </c>
      <c r="B17" s="2">
        <v>2</v>
      </c>
      <c r="C17" s="2">
        <v>3</v>
      </c>
      <c r="D17" s="23"/>
      <c r="J17" s="1" t="s">
        <v>39</v>
      </c>
      <c r="K17" s="24"/>
    </row>
    <row r="18" spans="1:11" x14ac:dyDescent="0.25">
      <c r="J18" s="2" t="s">
        <v>48</v>
      </c>
      <c r="K18" s="24"/>
    </row>
    <row r="19" spans="1:11" x14ac:dyDescent="0.25">
      <c r="J19" s="1" t="s">
        <v>40</v>
      </c>
      <c r="K19" s="24"/>
    </row>
    <row r="20" spans="1:11" ht="15.75" thickBot="1" x14ac:dyDescent="0.3">
      <c r="J20" s="2" t="s">
        <v>49</v>
      </c>
      <c r="K20" s="24"/>
    </row>
    <row r="21" spans="1:11" ht="15.75" thickBot="1" x14ac:dyDescent="0.3">
      <c r="A21" s="55" t="s">
        <v>24</v>
      </c>
      <c r="B21" s="55"/>
      <c r="C21" s="25"/>
      <c r="J21" s="1" t="s">
        <v>41</v>
      </c>
      <c r="K21" s="24"/>
    </row>
    <row r="22" spans="1:11" x14ac:dyDescent="0.25">
      <c r="A22" s="56" t="s">
        <v>21</v>
      </c>
      <c r="B22" s="56"/>
      <c r="C22" s="25"/>
      <c r="J22" s="2">
        <v>1982825</v>
      </c>
      <c r="K22" s="24"/>
    </row>
    <row r="23" spans="1:11" x14ac:dyDescent="0.25">
      <c r="A23" s="2" t="s">
        <v>22</v>
      </c>
      <c r="B23" s="2" t="s">
        <v>23</v>
      </c>
      <c r="C23" s="25"/>
      <c r="J23" s="1" t="s">
        <v>42</v>
      </c>
      <c r="K23" s="24"/>
    </row>
    <row r="24" spans="1:11" ht="15.75" thickBot="1" x14ac:dyDescent="0.3">
      <c r="A24" s="7">
        <v>10</v>
      </c>
      <c r="B24" s="7">
        <v>5</v>
      </c>
      <c r="C24" s="25"/>
      <c r="J24" s="7">
        <v>16777215</v>
      </c>
      <c r="K24" s="24"/>
    </row>
  </sheetData>
  <mergeCells count="4">
    <mergeCell ref="A10:C10"/>
    <mergeCell ref="A11:C11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conf</vt:lpstr>
      <vt:lpstr>Способы</vt:lpstr>
      <vt:lpstr>Значения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2026-04-30T20:53:41Z</dcterms:modified>
</cp:coreProperties>
</file>