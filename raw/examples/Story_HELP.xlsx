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E891B88-8E88-4E04-8E90-9ABA12F23175}" xr6:coauthVersionLast="47" xr6:coauthVersionMax="47" xr10:uidLastSave="{00000000-0000-0000-0000-000000000000}"/>
  <bookViews>
    <workbookView xWindow="-120" yWindow="-120" windowWidth="29040" windowHeight="15840" tabRatio="591" xr2:uid="{00000000-000D-0000-FFFF-FFFF00000000}"/>
  </bookViews>
  <sheets>
    <sheet name="conf" sheetId="6" r:id="rId1"/>
    <sheet name="Способы" sheetId="7" r:id="rId2"/>
    <sheet name="Значения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6" l="1"/>
  <c r="E39" i="6"/>
  <c r="D39" i="6"/>
  <c r="C39" i="6" s="1"/>
  <c r="J34" i="6"/>
  <c r="C34" i="6"/>
  <c r="J33" i="6"/>
  <c r="F16" i="6"/>
  <c r="C33" i="6"/>
  <c r="C32" i="6"/>
  <c r="J32" i="6"/>
  <c r="F15" i="6"/>
  <c r="C18" i="7"/>
  <c r="C13" i="7"/>
  <c r="C12" i="7"/>
  <c r="C11" i="7"/>
  <c r="C5" i="7"/>
  <c r="C4" i="7"/>
</calcChain>
</file>

<file path=xl/sharedStrings.xml><?xml version="1.0" encoding="utf-8"?>
<sst xmlns="http://schemas.openxmlformats.org/spreadsheetml/2006/main" count="325" uniqueCount="140">
  <si>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</si>
  <si>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</si>
  <si>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</si>
  <si>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</si>
  <si>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</si>
  <si>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</si>
  <si>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</si>
  <si>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</si>
  <si>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</si>
  <si>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</si>
  <si>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</si>
  <si>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</si>
  <si>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</si>
  <si>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</si>
  <si>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</si>
  <si>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</si>
  <si>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</si>
  <si>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</si>
  <si>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</si>
  <si>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</si>
  <si>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</si>
  <si>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</si>
  <si>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</si>
  <si>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</si>
  <si>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</si>
  <si>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</si>
  <si>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</si>
  <si>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</si>
  <si>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</si>
  <si>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</si>
  <si>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</si>
  <si>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</si>
  <si>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</si>
  <si>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</si>
  <si>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</si>
  <si>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</si>
  <si>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</si>
  <si>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</si>
  <si>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</si>
  <si>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</si>
  <si>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</si>
  <si>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</si>
  <si>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</si>
  <si>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</si>
  <si>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</si>
  <si>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</si>
  <si>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</si>
  <si>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</si>
  <si>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</si>
  <si>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</si>
  <si>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</si>
  <si>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</si>
  <si>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</si>
  <si>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</si>
  <si>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</si>
  <si>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</si>
  <si>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meta_info</t>
  </si>
  <si>
    <t>ignore</t>
  </si>
  <si>
    <t>reward</t>
  </si>
  <si>
    <t>price</t>
  </si>
  <si>
    <t>Количество ассетов</t>
  </si>
  <si>
    <t>stuff_icon</t>
  </si>
  <si>
    <t>open_price</t>
  </si>
  <si>
    <t>extra.window_spec.view_window</t>
  </si>
  <si>
    <t>extra.window_spec.main_asset</t>
  </si>
  <si>
    <t>extra.window_spec.mark_1</t>
  </si>
  <si>
    <t>extra.window_spec.mark_2</t>
  </si>
  <si>
    <t>extra.window_spec.comment_1</t>
  </si>
  <si>
    <t>extra.window_spec.comment_2</t>
  </si>
  <si>
    <t>extra.window_spec.comment_3</t>
  </si>
  <si>
    <t>extra.window_spec.comment_4</t>
  </si>
  <si>
    <t>Алтарь Небесного Огня</t>
  </si>
  <si>
    <t>Дары</t>
  </si>
  <si>
    <t>Обереги</t>
  </si>
  <si>
    <t>behaviour.1.chest</t>
  </si>
  <si>
    <t>behaviour.1.conditions_title</t>
  </si>
  <si>
    <t>Небесная искра</t>
  </si>
  <si>
    <t>rand_reward.asset</t>
  </si>
  <si>
    <t>rand_reward_in_guest.asset</t>
  </si>
  <si>
    <t>view_classname</t>
  </si>
  <si>
    <t>description</t>
  </si>
  <si>
    <t>/quest_item/Fun/Fun10/resource/Fun10_ASK_1.proto.js</t>
  </si>
  <si>
    <t>Эфирная древесина</t>
  </si>
  <si>
    <t>Попроси у друзей или купи.</t>
  </si>
  <si>
    <t>Жидкое пламя</t>
  </si>
  <si>
    <t>identifier</t>
  </si>
  <si>
    <t>tags.2</t>
  </si>
  <si>
    <t>Fun12</t>
  </si>
  <si>
    <t>ingredients</t>
  </si>
  <si>
    <t>Когда твои друзья активируют твой небесный алтарь,\nтебе в качестве помощи приходит Небесная искра.\nПринимай помощь и создавай Жидкое пламя из искр.</t>
  </si>
  <si>
    <t>Зажги Небесный огонь, чтобы друзья могли получать Жидкое пламя!</t>
  </si>
  <si>
    <t>Небесный огонь будет гореть в течение 6 часов и друзья смогут получать Жидкое пламя, после чего требуется снова зажечь огонь.</t>
  </si>
  <si>
    <t>Зажечь пламя</t>
  </si>
  <si>
    <t>Зажги пламя</t>
  </si>
  <si>
    <t>Друг не зажег \nпламя! Приходи позже.</t>
  </si>
  <si>
    <t>daily_help_limit</t>
  </si>
  <si>
    <t>/chest/Veles_2024/Veles_2024_Chest_2_Home.proto.js</t>
  </si>
  <si>
    <t>/furniture/Veles_2024/Veles_2024_Stuff_2_Guest.proto.js</t>
  </si>
  <si>
    <t>/asset_package/Fun/Fun10/resource/Fun10_ASK_1_Package.proto.js</t>
  </si>
  <si>
    <t>poster_reward</t>
  </si>
  <si>
    <t>clicks_limit</t>
  </si>
  <si>
    <t>life_time</t>
  </si>
  <si>
    <t>send_interval</t>
  </si>
  <si>
    <t>/post_action/ask_for_Fun10_ASK_10.proto.js</t>
  </si>
  <si>
    <t>asset=HeavenlyExotic_Chest_HummingbirdNest_ASK_1:1</t>
  </si>
  <si>
    <t>АССЕТЫ Ресурсов HELP</t>
  </si>
  <si>
    <t>АССЕТЫ Ресурсов  ASK</t>
  </si>
  <si>
    <t>ПАКЕТЫ ДЛЯ ПРОДАЖИ</t>
  </si>
  <si>
    <t>ПОСТЭКШЕНЫ ASK и PER</t>
  </si>
  <si>
    <t>ОБЪЕКТ HELP_1_Home</t>
  </si>
  <si>
    <t>ОБЪЕКТ HELP_1_Guest</t>
  </si>
  <si>
    <t>РЕЦЕПТ HELP_R_Opener</t>
  </si>
  <si>
    <t>/chest/Fun/Fun12/Fun12_HELP_1_Home.proto.js</t>
  </si>
  <si>
    <t>Fun12_HELP_1_Home</t>
  </si>
  <si>
    <t>asset=Fun12_HELP_1_ASK_Open_1:10</t>
  </si>
  <si>
    <t>Fun12_HELP_1_Window</t>
  </si>
  <si>
    <t>/furniture/Fun/Fun12/Fun12_HELP_1_Guest.proto.js</t>
  </si>
  <si>
    <t>Fun12_HELP_1_Guest</t>
  </si>
  <si>
    <t>Fun12_HELP_1_Guest_StuffIcon</t>
  </si>
  <si>
    <t>/quest_item/Fun/Fun12/Fun12_HELP_1_ASK_Open_1.proto.js</t>
  </si>
  <si>
    <t>Fun12_HELP_1_ASK_Open_1</t>
  </si>
  <si>
    <t>pack_asset=Fun12_HELP_1_ASK_Open_1_Package</t>
  </si>
  <si>
    <t>/post_action/ask_for_Fun12_HELP_1_ASK_Open_1.proto.js</t>
  </si>
  <si>
    <t>ask_for_Fun12_HELP_1_ASK_Open_1</t>
  </si>
  <si>
    <t>Fun12_+A32:E32Path</t>
  </si>
  <si>
    <t>Fun12_HELP_1_ASK_Open_1_Package</t>
  </si>
  <si>
    <t>asset=Fun12_HELP_1_ASK_Open_1:2</t>
  </si>
  <si>
    <t>Fun12_HELP_1_R_Opener</t>
  </si>
  <si>
    <t>Fun12_HELP_1_R_OpenerPath</t>
  </si>
  <si>
    <t>/quest_item/Fun/Fun10/Fun10_FunCollection_2_HELP_1_R_OpenerPath.proto.js</t>
  </si>
  <si>
    <t>/quest_item/Fun/Fun12/Fun12_HELP_1_R_OpenerPath.proto.js</t>
  </si>
  <si>
    <t>/quest_item/Fun/Fun10/Fun10_FunCollection_2_HELP_1_R_Opener.proto.js</t>
  </si>
  <si>
    <t>/quest_item/Fun/Fun12/Fun12_HELP_1_R_Opener.proto.js</t>
  </si>
  <si>
    <t>/asset_package/Fun/Fun10/Fun10_FunCollection_2_HELP_1_R_OpenerPath_Package.proto.js</t>
  </si>
  <si>
    <t>Fun12_HELP_1_R_OpenerPath_Package</t>
  </si>
  <si>
    <t>asset=Fun12_HELP_1_R_OpenerPath:3</t>
  </si>
  <si>
    <t>/asset_package/Fun/Fun10/Fun10_FunCollection_2_HELP_1_R_Opener_Package.proto.js</t>
  </si>
  <si>
    <t>Fun12_HELP_1_R_Opener_Package</t>
  </si>
  <si>
    <t>asset=Fun12_HELP_1_R_Opener:15</t>
  </si>
  <si>
    <t>/recipe/Fun/Fun10/Fun10_FunCollection_2_HELP_1_R_Opener_Recipe.proto.js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</si>
</sst>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7" borderId="22" xfId="0" applyFill="1" applyBorder="1"/>
    <xf numFmtId="0" fontId="0" fillId="7" borderId="22" xfId="0" applyFill="1" applyBorder="1" applyAlignment="1">
      <alignment vertical="top"/>
    </xf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Normal="100" workbookViewId="0">
      <selection activeCell="D16" sqref="D16"/>
    </sheetView>
  </sheetViews>
  <sheetFormatPr defaultRowHeight="15" x14ac:dyDescent="0.25"/>
  <cols>
    <col min="1" max="1" width="21.42578125" bestFit="1" customWidth="1"/>
    <col min="2" max="2" width="48.140625" bestFit="1" customWidth="1"/>
    <col min="3" max="3" width="77.7109375" bestFit="1" customWidth="1"/>
    <col min="4" max="4" width="48" bestFit="1" customWidth="1"/>
    <col min="5" max="5" width="22.5703125" bestFit="1" customWidth="1"/>
    <col min="6" max="6" width="48.85546875" bestFit="1" customWidth="1"/>
    <col min="7" max="7" width="36" bestFit="1" customWidth="1"/>
    <col min="8" max="8" width="47.85546875" customWidth="1"/>
    <col min="9" max="9" width="39.7109375" customWidth="1"/>
    <col min="10" max="10" width="40.42578125" customWidth="1"/>
    <col min="11" max="11" width="53.140625" bestFit="1" customWidth="1"/>
    <col min="12" max="12" width="13.5703125" bestFit="1" customWidth="1"/>
    <col min="13" max="13" width="27.28515625" bestFit="1" customWidth="1"/>
    <col min="14" max="14" width="16.7109375" bestFit="1" customWidth="1"/>
    <col min="15" max="15" width="27" bestFit="1" customWidth="1"/>
    <col min="16" max="16" width="14.42578125" bestFit="1" customWidth="1"/>
    <col min="17" max="17" width="26.140625" bestFit="1" customWidth="1"/>
  </cols>
  <sheetData>
    <row r="1" spans="1:16" x14ac:dyDescent="0.25">
      <c r="B1" t="s">
        <v>109</v>
      </c>
    </row>
    <row r="2" spans="1:16" x14ac:dyDescent="0.25">
      <c r="A2" s="26" t="s">
        <v>15</v>
      </c>
      <c r="B2" s="26" t="s">
        <v>13</v>
      </c>
      <c r="C2" s="26" t="s">
        <v>13</v>
      </c>
      <c r="D2" s="26" t="s">
        <v>13</v>
      </c>
      <c r="E2" s="26" t="s">
        <v>13</v>
      </c>
      <c r="F2" s="26" t="s">
        <v>13</v>
      </c>
      <c r="G2" s="26" t="s">
        <v>13</v>
      </c>
      <c r="H2" s="26" t="s">
        <v>13</v>
      </c>
      <c r="I2" s="26" t="s">
        <v>13</v>
      </c>
      <c r="J2" s="26" t="s">
        <v>13</v>
      </c>
      <c r="K2" s="26" t="s">
        <v>13</v>
      </c>
      <c r="L2" s="26" t="s">
        <v>13</v>
      </c>
      <c r="M2" s="26" t="s">
        <v>13</v>
      </c>
      <c r="N2" s="26" t="s">
        <v>13</v>
      </c>
      <c r="O2" s="26" t="s">
        <v>13</v>
      </c>
      <c r="P2" s="26" t="s">
        <v>14</v>
      </c>
    </row>
    <row r="3" spans="1:16" x14ac:dyDescent="0.25">
      <c r="B3" s="1" t="s">
        <v>7</v>
      </c>
      <c r="C3" s="1" t="s">
        <v>8</v>
      </c>
      <c r="D3" s="1" t="s">
        <v>0</v>
      </c>
      <c r="E3" s="1" t="s">
        <v>3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70</v>
      </c>
      <c r="P3" s="1" t="s">
        <v>5</v>
      </c>
    </row>
    <row r="4" spans="1:16" ht="60" x14ac:dyDescent="0.25">
      <c r="B4" s="2" t="s">
        <v>96</v>
      </c>
      <c r="C4" s="2" t="s">
        <v>112</v>
      </c>
      <c r="D4" s="2" t="s">
        <v>113</v>
      </c>
      <c r="E4" s="2" t="s">
        <v>71</v>
      </c>
      <c r="F4" s="2" t="s">
        <v>114</v>
      </c>
      <c r="G4" s="2" t="s">
        <v>115</v>
      </c>
      <c r="H4" s="2" t="s">
        <v>127</v>
      </c>
      <c r="I4" s="2" t="s">
        <v>72</v>
      </c>
      <c r="J4" s="2" t="s">
        <v>73</v>
      </c>
      <c r="K4" s="27" t="s">
        <v>89</v>
      </c>
      <c r="L4" s="2" t="s">
        <v>90</v>
      </c>
      <c r="M4" s="2" t="s">
        <v>91</v>
      </c>
      <c r="N4" s="2" t="s">
        <v>92</v>
      </c>
      <c r="O4" s="2" t="s">
        <v>93</v>
      </c>
      <c r="P4" s="2"/>
    </row>
    <row r="5" spans="1:16" x14ac:dyDescent="0.25">
      <c r="K5" s="28"/>
    </row>
    <row r="6" spans="1:16" x14ac:dyDescent="0.25">
      <c r="B6" t="s">
        <v>110</v>
      </c>
    </row>
    <row r="7" spans="1:16" x14ac:dyDescent="0.25">
      <c r="A7" s="26" t="s">
        <v>15</v>
      </c>
      <c r="B7" s="26" t="s">
        <v>13</v>
      </c>
      <c r="C7" s="26" t="s">
        <v>13</v>
      </c>
      <c r="D7" s="26" t="s">
        <v>13</v>
      </c>
      <c r="E7" s="26" t="s">
        <v>13</v>
      </c>
      <c r="F7" s="26" t="s">
        <v>13</v>
      </c>
      <c r="G7" s="26" t="s">
        <v>13</v>
      </c>
      <c r="H7" s="26" t="s">
        <v>13</v>
      </c>
      <c r="I7" s="26" t="s">
        <v>13</v>
      </c>
      <c r="J7" s="26" t="s">
        <v>13</v>
      </c>
      <c r="K7" s="26" t="s">
        <v>14</v>
      </c>
      <c r="L7" s="26" t="s">
        <v>14</v>
      </c>
    </row>
    <row r="8" spans="1:16" x14ac:dyDescent="0.25">
      <c r="B8" s="1" t="s">
        <v>7</v>
      </c>
      <c r="C8" s="1" t="s">
        <v>8</v>
      </c>
      <c r="D8" s="1" t="s">
        <v>0</v>
      </c>
      <c r="E8" s="1" t="s">
        <v>3</v>
      </c>
      <c r="F8" s="1" t="s">
        <v>61</v>
      </c>
      <c r="G8" s="1" t="s">
        <v>74</v>
      </c>
      <c r="H8" s="1" t="s">
        <v>75</v>
      </c>
      <c r="I8" s="1" t="s">
        <v>77</v>
      </c>
      <c r="J8" s="1" t="s">
        <v>78</v>
      </c>
      <c r="K8" s="1" t="s">
        <v>95</v>
      </c>
      <c r="L8" s="1" t="s">
        <v>5</v>
      </c>
    </row>
    <row r="9" spans="1:16" x14ac:dyDescent="0.25">
      <c r="B9" s="2" t="s">
        <v>97</v>
      </c>
      <c r="C9" s="2" t="s">
        <v>116</v>
      </c>
      <c r="D9" s="2" t="s">
        <v>117</v>
      </c>
      <c r="E9" s="2" t="s">
        <v>71</v>
      </c>
      <c r="F9" s="2" t="s">
        <v>118</v>
      </c>
      <c r="G9" s="2" t="s">
        <v>113</v>
      </c>
      <c r="H9" s="27" t="s">
        <v>94</v>
      </c>
      <c r="I9" s="2" t="s">
        <v>128</v>
      </c>
      <c r="J9" s="2" t="s">
        <v>128</v>
      </c>
      <c r="K9" s="2">
        <v>5</v>
      </c>
      <c r="L9" s="2"/>
    </row>
    <row r="12" spans="1:16" x14ac:dyDescent="0.25">
      <c r="B12" s="29" t="s">
        <v>105</v>
      </c>
      <c r="C12" s="29"/>
      <c r="D12" s="29"/>
      <c r="E12" s="29"/>
      <c r="F12" s="29"/>
      <c r="G12" s="29"/>
    </row>
    <row r="13" spans="1:16" x14ac:dyDescent="0.25">
      <c r="A13" s="26" t="s">
        <v>15</v>
      </c>
      <c r="B13" s="26" t="s">
        <v>13</v>
      </c>
      <c r="C13" s="26" t="s">
        <v>13</v>
      </c>
      <c r="D13" s="26" t="s">
        <v>13</v>
      </c>
      <c r="E13" s="26" t="s">
        <v>13</v>
      </c>
      <c r="F13" s="26" t="s">
        <v>13</v>
      </c>
      <c r="G13" s="26" t="s">
        <v>14</v>
      </c>
    </row>
    <row r="14" spans="1:16" x14ac:dyDescent="0.25">
      <c r="B14" s="1" t="s">
        <v>7</v>
      </c>
      <c r="C14" s="1" t="s">
        <v>8</v>
      </c>
      <c r="D14" s="1" t="s">
        <v>0</v>
      </c>
      <c r="E14" s="1" t="s">
        <v>3</v>
      </c>
      <c r="F14" s="1" t="s">
        <v>56</v>
      </c>
      <c r="G14" s="1" t="s">
        <v>5</v>
      </c>
    </row>
    <row r="15" spans="1:16" x14ac:dyDescent="0.25">
      <c r="B15" s="2" t="s">
        <v>129</v>
      </c>
      <c r="C15" s="2" t="s">
        <v>130</v>
      </c>
      <c r="D15" s="2" t="s">
        <v>128</v>
      </c>
      <c r="E15" s="2" t="s">
        <v>76</v>
      </c>
      <c r="F15" s="2" t="str">
        <f>"pack_asset="&amp;D32</f>
        <v>pack_asset=Fun12_HELP_1_R_OpenerPath_Package</v>
      </c>
      <c r="G15" s="2"/>
    </row>
    <row r="16" spans="1:16" x14ac:dyDescent="0.25">
      <c r="B16" s="2" t="s">
        <v>131</v>
      </c>
      <c r="C16" s="2" t="s">
        <v>132</v>
      </c>
      <c r="D16" s="2" t="s">
        <v>127</v>
      </c>
      <c r="E16" s="2" t="s">
        <v>84</v>
      </c>
      <c r="F16" s="2" t="str">
        <f>"pack_asset="&amp;D33</f>
        <v>pack_asset=Fun12_HELP_1_R_Opener_Package</v>
      </c>
      <c r="G16" s="2"/>
    </row>
    <row r="18" spans="1:11" x14ac:dyDescent="0.25">
      <c r="B18" s="29" t="s">
        <v>106</v>
      </c>
    </row>
    <row r="19" spans="1:11" x14ac:dyDescent="0.25">
      <c r="A19" s="26" t="s">
        <v>15</v>
      </c>
      <c r="B19" s="26" t="s">
        <v>13</v>
      </c>
      <c r="C19" s="26" t="s">
        <v>13</v>
      </c>
      <c r="D19" s="26" t="s">
        <v>13</v>
      </c>
      <c r="E19" s="26" t="s">
        <v>13</v>
      </c>
      <c r="F19" s="26" t="s">
        <v>13</v>
      </c>
      <c r="G19" s="26" t="s">
        <v>13</v>
      </c>
      <c r="H19" s="26" t="s">
        <v>13</v>
      </c>
      <c r="I19" s="26" t="s">
        <v>14</v>
      </c>
    </row>
    <row r="20" spans="1:11" x14ac:dyDescent="0.25">
      <c r="B20" s="1" t="s">
        <v>7</v>
      </c>
      <c r="C20" s="1" t="s">
        <v>8</v>
      </c>
      <c r="D20" s="1" t="s">
        <v>0</v>
      </c>
      <c r="E20" s="1" t="s">
        <v>79</v>
      </c>
      <c r="F20" s="1" t="s">
        <v>3</v>
      </c>
      <c r="G20" s="1" t="s">
        <v>80</v>
      </c>
      <c r="H20" s="1" t="s">
        <v>56</v>
      </c>
      <c r="I20" s="1" t="s">
        <v>5</v>
      </c>
    </row>
    <row r="21" spans="1:11" x14ac:dyDescent="0.25">
      <c r="B21" s="2" t="s">
        <v>81</v>
      </c>
      <c r="C21" s="2" t="s">
        <v>119</v>
      </c>
      <c r="D21" s="2" t="s">
        <v>120</v>
      </c>
      <c r="E21" s="2" t="s">
        <v>120</v>
      </c>
      <c r="F21" s="2" t="s">
        <v>82</v>
      </c>
      <c r="G21" s="2" t="s">
        <v>83</v>
      </c>
      <c r="H21" s="2" t="s">
        <v>121</v>
      </c>
      <c r="I21" s="2"/>
    </row>
    <row r="23" spans="1:11" x14ac:dyDescent="0.25">
      <c r="B23" t="s">
        <v>108</v>
      </c>
    </row>
    <row r="24" spans="1:11" x14ac:dyDescent="0.25">
      <c r="A24" s="26" t="s">
        <v>15</v>
      </c>
      <c r="B24" s="26" t="s">
        <v>13</v>
      </c>
      <c r="C24" s="26" t="s">
        <v>13</v>
      </c>
      <c r="D24" s="26" t="s">
        <v>13</v>
      </c>
      <c r="E24" s="26" t="s">
        <v>13</v>
      </c>
      <c r="F24" s="26" t="s">
        <v>13</v>
      </c>
      <c r="G24" s="26" t="s">
        <v>14</v>
      </c>
      <c r="H24" s="26" t="s">
        <v>14</v>
      </c>
      <c r="I24" s="26" t="s">
        <v>14</v>
      </c>
      <c r="J24" s="26" t="s">
        <v>14</v>
      </c>
    </row>
    <row r="25" spans="1:11" x14ac:dyDescent="0.25">
      <c r="B25" s="1" t="s">
        <v>7</v>
      </c>
      <c r="C25" s="1" t="s">
        <v>8</v>
      </c>
      <c r="D25" s="1" t="s">
        <v>85</v>
      </c>
      <c r="E25" s="1" t="s">
        <v>3</v>
      </c>
      <c r="F25" s="1" t="s">
        <v>99</v>
      </c>
      <c r="G25" s="1" t="s">
        <v>100</v>
      </c>
      <c r="H25" s="1" t="s">
        <v>101</v>
      </c>
      <c r="I25" s="1" t="s">
        <v>102</v>
      </c>
      <c r="J25" s="1" t="s">
        <v>5</v>
      </c>
    </row>
    <row r="26" spans="1:11" x14ac:dyDescent="0.25">
      <c r="B26" t="s">
        <v>103</v>
      </c>
      <c r="C26" t="s">
        <v>122</v>
      </c>
      <c r="D26" t="s">
        <v>123</v>
      </c>
      <c r="E26" s="2" t="s">
        <v>82</v>
      </c>
      <c r="F26" t="s">
        <v>104</v>
      </c>
      <c r="G26">
        <v>5</v>
      </c>
      <c r="H26">
        <v>43200</v>
      </c>
      <c r="I26">
        <v>7200</v>
      </c>
    </row>
    <row r="29" spans="1:11" x14ac:dyDescent="0.25">
      <c r="B29" s="30" t="s">
        <v>107</v>
      </c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25">
      <c r="A30" s="26" t="s">
        <v>15</v>
      </c>
      <c r="B30" s="26" t="s">
        <v>13</v>
      </c>
      <c r="C30" s="26" t="s">
        <v>13</v>
      </c>
      <c r="D30" s="26" t="s">
        <v>13</v>
      </c>
      <c r="E30" s="26" t="s">
        <v>57</v>
      </c>
      <c r="F30" s="26" t="s">
        <v>13</v>
      </c>
      <c r="G30" s="26" t="s">
        <v>13</v>
      </c>
      <c r="H30" s="26" t="s">
        <v>14</v>
      </c>
      <c r="I30" s="26" t="s">
        <v>57</v>
      </c>
      <c r="J30" s="26" t="s">
        <v>13</v>
      </c>
      <c r="K30" s="26" t="s">
        <v>14</v>
      </c>
    </row>
    <row r="31" spans="1:11" x14ac:dyDescent="0.25">
      <c r="B31" s="1" t="s">
        <v>7</v>
      </c>
      <c r="C31" s="1" t="s">
        <v>8</v>
      </c>
      <c r="D31" s="1" t="s">
        <v>0</v>
      </c>
      <c r="E31" s="1" t="s">
        <v>11</v>
      </c>
      <c r="F31" s="1" t="s">
        <v>3</v>
      </c>
      <c r="G31" s="1" t="s">
        <v>58</v>
      </c>
      <c r="H31" s="1" t="s">
        <v>59</v>
      </c>
      <c r="I31" s="1" t="s">
        <v>60</v>
      </c>
      <c r="J31" s="1" t="s">
        <v>61</v>
      </c>
      <c r="K31" s="1" t="s">
        <v>5</v>
      </c>
    </row>
    <row r="32" spans="1:11" x14ac:dyDescent="0.25">
      <c r="B32" s="2" t="s">
        <v>133</v>
      </c>
      <c r="C32" s="2" t="str">
        <f>"/asset_package/Fun/Fun12/"&amp;D32&amp;".proto.js"</f>
        <v>/asset_package/Fun/Fun12/Fun12_HELP_1_R_OpenerPath_Package.proto.js</v>
      </c>
      <c r="D32" s="2" t="s">
        <v>134</v>
      </c>
      <c r="E32" s="2" t="s">
        <v>124</v>
      </c>
      <c r="F32" s="2" t="s">
        <v>76</v>
      </c>
      <c r="G32" s="2" t="s">
        <v>135</v>
      </c>
      <c r="H32" s="2">
        <v>3</v>
      </c>
      <c r="I32" s="2">
        <v>1</v>
      </c>
      <c r="J32" s="2" t="str">
        <f>E32</f>
        <v>Fun12_+A32:E32Path</v>
      </c>
      <c r="K32" s="2"/>
    </row>
    <row r="33" spans="1:11" x14ac:dyDescent="0.25">
      <c r="B33" s="2" t="s">
        <v>136</v>
      </c>
      <c r="C33" s="2" t="str">
        <f>"/asset_package/Fun/Fun12/"&amp;D33&amp;".proto.js"</f>
        <v>/asset_package/Fun/Fun12/Fun12_HELP_1_R_Opener_Package.proto.js</v>
      </c>
      <c r="D33" s="2" t="s">
        <v>137</v>
      </c>
      <c r="E33" s="2" t="s">
        <v>127</v>
      </c>
      <c r="F33" s="2" t="s">
        <v>84</v>
      </c>
      <c r="G33" s="2" t="s">
        <v>138</v>
      </c>
      <c r="H33" s="2">
        <v>15</v>
      </c>
      <c r="I33" s="2">
        <v>1</v>
      </c>
      <c r="J33" s="2" t="str">
        <f>E33</f>
        <v>Fun12_HELP_1_R_Opener</v>
      </c>
      <c r="K33" s="2"/>
    </row>
    <row r="34" spans="1:11" x14ac:dyDescent="0.25">
      <c r="B34" s="2" t="s">
        <v>98</v>
      </c>
      <c r="C34" s="2" t="str">
        <f>"/asset_package/Fun/Fun12/"&amp;D34&amp;".proto.js"</f>
        <v>/asset_package/Fun/Fun12/Fun12_HELP_1_ASK_Open_1_Package.proto.js</v>
      </c>
      <c r="D34" s="2" t="s">
        <v>125</v>
      </c>
      <c r="E34" s="2" t="s">
        <v>120</v>
      </c>
      <c r="F34" s="2" t="s">
        <v>82</v>
      </c>
      <c r="G34" s="2" t="s">
        <v>126</v>
      </c>
      <c r="H34" s="2">
        <v>2</v>
      </c>
      <c r="I34" s="2">
        <v>1</v>
      </c>
      <c r="J34" s="2" t="str">
        <f>E34</f>
        <v>Fun12_HELP_1_ASK_Open_1</v>
      </c>
      <c r="K34" s="2"/>
    </row>
    <row r="36" spans="1:11" x14ac:dyDescent="0.25">
      <c r="B36" t="s">
        <v>111</v>
      </c>
    </row>
    <row r="37" spans="1:11" x14ac:dyDescent="0.25">
      <c r="A37" s="26" t="s">
        <v>15</v>
      </c>
      <c r="B37" s="26" t="s">
        <v>13</v>
      </c>
      <c r="C37" s="26" t="s">
        <v>13</v>
      </c>
      <c r="D37" s="26" t="s">
        <v>13</v>
      </c>
      <c r="E37" s="26" t="s">
        <v>13</v>
      </c>
      <c r="F37" s="26" t="s">
        <v>13</v>
      </c>
      <c r="G37" s="26" t="s">
        <v>13</v>
      </c>
      <c r="H37" s="26" t="s">
        <v>14</v>
      </c>
    </row>
    <row r="38" spans="1:11" x14ac:dyDescent="0.25">
      <c r="B38" s="1" t="s">
        <v>7</v>
      </c>
      <c r="C38" s="1" t="s">
        <v>8</v>
      </c>
      <c r="D38" s="1" t="s">
        <v>85</v>
      </c>
      <c r="E38" s="1" t="s">
        <v>58</v>
      </c>
      <c r="F38" s="1" t="s">
        <v>86</v>
      </c>
      <c r="G38" s="1" t="s">
        <v>88</v>
      </c>
      <c r="H38" s="1" t="s">
        <v>5</v>
      </c>
    </row>
    <row r="39" spans="1:11" x14ac:dyDescent="0.25">
      <c r="B39" s="2" t="s">
        <v>139</v>
      </c>
      <c r="C39" s="2" t="str">
        <f>"/recipe/Fun/Fun12/"&amp;D39&amp;".proto.js"</f>
        <v>/recipe/Fun/Fun12/Fun12_HELP_1_R_Opener_Recipe.proto.js</v>
      </c>
      <c r="D39" s="2" t="str">
        <f>D16&amp;"_Recipe"</f>
        <v>Fun12_HELP_1_R_Opener_Recipe</v>
      </c>
      <c r="E39" s="2" t="str">
        <f>"asset="&amp;D16&amp;":1"</f>
        <v>asset=Fun12_HELP_1_R_Opener:1</v>
      </c>
      <c r="F39" s="2" t="s">
        <v>87</v>
      </c>
      <c r="G39" s="2" t="str">
        <f>"asset="&amp;D15&amp;":5"</f>
        <v>asset=Fun12_HELP_1_R_OpenerPath:5</v>
      </c>
      <c r="H39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F16" sqref="F16:H16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31" t="s">
        <v>24</v>
      </c>
      <c r="G2" s="31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32" t="s">
        <v>21</v>
      </c>
      <c r="G3" s="32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33" t="s">
        <v>16</v>
      </c>
      <c r="G16" s="33"/>
      <c r="H16" s="33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34" t="s">
        <v>9</v>
      </c>
      <c r="G17" s="35"/>
      <c r="H17" s="36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A21" sqref="A21:B24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12" t="s">
        <v>31</v>
      </c>
      <c r="B1" s="24"/>
      <c r="D1" s="10" t="s">
        <v>14</v>
      </c>
      <c r="E1" s="25"/>
      <c r="G1" s="12" t="s">
        <v>13</v>
      </c>
      <c r="H1" s="25"/>
      <c r="J1" s="12" t="s">
        <v>30</v>
      </c>
      <c r="K1" s="24"/>
    </row>
    <row r="2" spans="1:11" x14ac:dyDescent="0.25">
      <c r="A2" s="3" t="s">
        <v>50</v>
      </c>
      <c r="B2" s="24"/>
      <c r="D2" s="3" t="s">
        <v>5</v>
      </c>
      <c r="E2" s="25"/>
      <c r="G2" s="3" t="s">
        <v>3</v>
      </c>
      <c r="H2" s="25"/>
      <c r="J2" s="3" t="s">
        <v>29</v>
      </c>
      <c r="K2" s="24"/>
    </row>
    <row r="3" spans="1:11" x14ac:dyDescent="0.25">
      <c r="A3" s="20" t="s">
        <v>51</v>
      </c>
      <c r="B3" s="24"/>
      <c r="D3" s="2">
        <v>67408</v>
      </c>
      <c r="E3" s="25"/>
      <c r="G3" s="2" t="s">
        <v>4</v>
      </c>
      <c r="H3" s="25"/>
      <c r="J3" s="1" t="s">
        <v>32</v>
      </c>
      <c r="K3" s="24"/>
    </row>
    <row r="4" spans="1:11" x14ac:dyDescent="0.25">
      <c r="A4" s="21" t="s">
        <v>52</v>
      </c>
      <c r="B4" s="24"/>
      <c r="J4" s="2">
        <v>1</v>
      </c>
      <c r="K4" s="24"/>
    </row>
    <row r="5" spans="1:11" x14ac:dyDescent="0.25">
      <c r="A5" s="20" t="s">
        <v>53</v>
      </c>
      <c r="B5" s="24"/>
      <c r="J5" s="1" t="s">
        <v>33</v>
      </c>
      <c r="K5" s="24"/>
    </row>
    <row r="6" spans="1:11" x14ac:dyDescent="0.25">
      <c r="A6" s="20" t="s">
        <v>54</v>
      </c>
      <c r="B6" s="24"/>
      <c r="J6" s="2">
        <v>1</v>
      </c>
      <c r="K6" s="24"/>
    </row>
    <row r="7" spans="1:11" ht="15.75" thickBot="1" x14ac:dyDescent="0.3">
      <c r="A7" s="22" t="s">
        <v>55</v>
      </c>
      <c r="B7" s="24"/>
      <c r="J7" s="1" t="s">
        <v>34</v>
      </c>
      <c r="K7" s="24"/>
    </row>
    <row r="8" spans="1:11" x14ac:dyDescent="0.25">
      <c r="J8" s="2" t="s">
        <v>43</v>
      </c>
      <c r="K8" s="24"/>
    </row>
    <row r="9" spans="1:11" ht="15.75" thickBot="1" x14ac:dyDescent="0.3">
      <c r="J9" s="1" t="s">
        <v>35</v>
      </c>
      <c r="K9" s="24"/>
    </row>
    <row r="10" spans="1:11" ht="15.75" thickBot="1" x14ac:dyDescent="0.3">
      <c r="A10" s="33" t="s">
        <v>16</v>
      </c>
      <c r="B10" s="33"/>
      <c r="C10" s="33"/>
      <c r="D10" s="23"/>
      <c r="J10" s="2" t="s">
        <v>44</v>
      </c>
      <c r="K10" s="24"/>
    </row>
    <row r="11" spans="1:11" x14ac:dyDescent="0.25">
      <c r="A11" s="34" t="s">
        <v>9</v>
      </c>
      <c r="B11" s="35"/>
      <c r="C11" s="36"/>
      <c r="D11" s="23"/>
      <c r="J11" s="1" t="s">
        <v>36</v>
      </c>
      <c r="K11" s="24"/>
    </row>
    <row r="12" spans="1:11" x14ac:dyDescent="0.25">
      <c r="A12" s="1" t="s">
        <v>10</v>
      </c>
      <c r="B12" s="1" t="s">
        <v>10</v>
      </c>
      <c r="C12" s="1" t="s">
        <v>10</v>
      </c>
      <c r="D12" s="23"/>
      <c r="J12" s="2" t="s">
        <v>45</v>
      </c>
      <c r="K12" s="24"/>
    </row>
    <row r="13" spans="1:11" x14ac:dyDescent="0.25">
      <c r="A13" s="2">
        <v>20</v>
      </c>
      <c r="B13" s="2">
        <v>21</v>
      </c>
      <c r="C13" s="2">
        <v>22</v>
      </c>
      <c r="D13" s="23"/>
      <c r="J13" s="1" t="s">
        <v>37</v>
      </c>
      <c r="K13" s="24"/>
    </row>
    <row r="14" spans="1:11" x14ac:dyDescent="0.25">
      <c r="A14" s="3" t="s">
        <v>11</v>
      </c>
      <c r="B14" s="3" t="s">
        <v>11</v>
      </c>
      <c r="C14" s="3" t="s">
        <v>11</v>
      </c>
      <c r="D14" s="23"/>
      <c r="J14" s="2" t="s">
        <v>46</v>
      </c>
      <c r="K14" s="24"/>
    </row>
    <row r="15" spans="1:11" x14ac:dyDescent="0.25">
      <c r="A15" s="2" t="s">
        <v>17</v>
      </c>
      <c r="B15" s="2" t="s">
        <v>18</v>
      </c>
      <c r="C15" s="2" t="s">
        <v>19</v>
      </c>
      <c r="D15" s="23"/>
      <c r="J15" s="1" t="s">
        <v>38</v>
      </c>
      <c r="K15" s="24"/>
    </row>
    <row r="16" spans="1:11" x14ac:dyDescent="0.25">
      <c r="A16" s="1" t="s">
        <v>12</v>
      </c>
      <c r="B16" s="1" t="s">
        <v>12</v>
      </c>
      <c r="C16" s="1" t="s">
        <v>12</v>
      </c>
      <c r="D16" s="23"/>
      <c r="J16" s="2" t="s">
        <v>47</v>
      </c>
      <c r="K16" s="24"/>
    </row>
    <row r="17" spans="1:11" x14ac:dyDescent="0.25">
      <c r="A17" s="2">
        <v>1</v>
      </c>
      <c r="B17" s="2">
        <v>2</v>
      </c>
      <c r="C17" s="2">
        <v>3</v>
      </c>
      <c r="D17" s="23"/>
      <c r="J17" s="1" t="s">
        <v>39</v>
      </c>
      <c r="K17" s="24"/>
    </row>
    <row r="18" spans="1:11" x14ac:dyDescent="0.25">
      <c r="J18" s="2" t="s">
        <v>48</v>
      </c>
      <c r="K18" s="24"/>
    </row>
    <row r="19" spans="1:11" x14ac:dyDescent="0.25">
      <c r="J19" s="1" t="s">
        <v>40</v>
      </c>
      <c r="K19" s="24"/>
    </row>
    <row r="20" spans="1:11" ht="15.75" thickBot="1" x14ac:dyDescent="0.3">
      <c r="J20" s="2" t="s">
        <v>49</v>
      </c>
      <c r="K20" s="24"/>
    </row>
    <row r="21" spans="1:11" ht="15.75" thickBot="1" x14ac:dyDescent="0.3">
      <c r="A21" s="31" t="s">
        <v>24</v>
      </c>
      <c r="B21" s="31"/>
      <c r="C21" s="25"/>
      <c r="J21" s="1" t="s">
        <v>41</v>
      </c>
      <c r="K21" s="24"/>
    </row>
    <row r="22" spans="1:11" x14ac:dyDescent="0.25">
      <c r="A22" s="32" t="s">
        <v>21</v>
      </c>
      <c r="B22" s="32"/>
      <c r="C22" s="25"/>
      <c r="J22" s="2">
        <v>1982825</v>
      </c>
      <c r="K22" s="24"/>
    </row>
    <row r="23" spans="1:11" x14ac:dyDescent="0.25">
      <c r="A23" s="2" t="s">
        <v>22</v>
      </c>
      <c r="B23" s="2" t="s">
        <v>23</v>
      </c>
      <c r="C23" s="25"/>
      <c r="J23" s="1" t="s">
        <v>42</v>
      </c>
      <c r="K23" s="24"/>
    </row>
    <row r="24" spans="1:11" ht="15.75" thickBot="1" x14ac:dyDescent="0.3">
      <c r="A24" s="7">
        <v>10</v>
      </c>
      <c r="B24" s="7">
        <v>5</v>
      </c>
      <c r="C24" s="25"/>
      <c r="J24" s="7">
        <v>16777215</v>
      </c>
      <c r="K24" s="24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2026-04-30T21:47:38Z</dcterms:modified>
</cp:coreProperties>
</file>