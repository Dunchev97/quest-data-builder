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 tabRatio="591"/>
  </bookViews>
  <sheets>
    <sheet name="conf" sheetId="6" r:id="rId1"/>
    <sheet name="Способы" sheetId="7" r:id="rId2"/>
    <sheet name="Значения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2" i="6" l="1"/>
  <c r="C42" i="6" s="1"/>
  <c r="G42" i="6"/>
  <c r="D35" i="6"/>
  <c r="C35" i="6" s="1"/>
  <c r="I20" i="6"/>
  <c r="H35" i="6"/>
  <c r="F35" i="6"/>
  <c r="C18" i="7"/>
  <c r="C13" i="7"/>
  <c r="C12" i="7"/>
  <c r="C11" i="7"/>
  <c r="C5" i="7"/>
  <c r="C4" i="7"/>
  <c r="H20" i="6" l="1"/>
</calcChain>
</file>

<file path=xl/sharedStrings.xml><?xml version="1.0" encoding="utf-8"?>
<sst xmlns="http://schemas.openxmlformats.org/spreadsheetml/2006/main" count="433" uniqueCount="187">
  <si>
    <t>classname</t>
  </si>
  <si>
    <t>Fun11_Restoration_Generator</t>
  </si>
  <si>
    <t>/src/Fun10_Restoration_Generator.proto.js</t>
  </si>
  <si>
    <t>title</t>
  </si>
  <si>
    <t>Что то там</t>
  </si>
  <si>
    <t>id</t>
  </si>
  <si>
    <t>Fun11_Restoration_Generator_2</t>
  </si>
  <si>
    <t>input</t>
  </si>
  <si>
    <t>output</t>
  </si>
  <si>
    <t>extra.stages.0.reward.one_of</t>
  </si>
  <si>
    <t>p</t>
  </si>
  <si>
    <t>asset</t>
  </si>
  <si>
    <t>amount</t>
  </si>
  <si>
    <t>string</t>
  </si>
  <si>
    <t>int</t>
  </si>
  <si>
    <t>temp_01</t>
  </si>
  <si>
    <t>array_of_objects</t>
  </si>
  <si>
    <t>Fun10_Restoration_1_1</t>
  </si>
  <si>
    <t>Fun10_Restoration_1_2</t>
  </si>
  <si>
    <t>Fun10_Restoration_1_3</t>
  </si>
  <si>
    <t>temp_02</t>
  </si>
  <si>
    <t>tags</t>
  </si>
  <si>
    <t>home</t>
  </si>
  <si>
    <t>build_new_home</t>
  </si>
  <si>
    <t>array</t>
  </si>
  <si>
    <t>Fun11_Restoration_Generator_3</t>
  </si>
  <si>
    <t>Fun11_Restoration_Generator_1</t>
  </si>
  <si>
    <t>Fun11_Restoration_Generator_4</t>
  </si>
  <si>
    <t>Fun11_Restoration_Generator_5</t>
  </si>
  <si>
    <t>extra</t>
  </si>
  <si>
    <t>object</t>
  </si>
  <si>
    <t>array_of_values</t>
  </si>
  <si>
    <t>hide_tool_tip</t>
  </si>
  <si>
    <t>is_hide_description</t>
  </si>
  <si>
    <t>window_skin</t>
  </si>
  <si>
    <t>description_window</t>
  </si>
  <si>
    <t>reward_description</t>
  </si>
  <si>
    <t>instruction_title</t>
  </si>
  <si>
    <t>tile_till_window</t>
  </si>
  <si>
    <t>open_btn_window</t>
  </si>
  <si>
    <t>open_now_btn_window</t>
  </si>
  <si>
    <t>open_btn_bgr_color</t>
  </si>
  <si>
    <t>open_btn_tf_color</t>
  </si>
  <si>
    <t>Fun11_FunCollection_1_Window</t>
  </si>
  <si>
    <t>Используй "Набор отмычек" чтобы открыть сундук сокровищ Камелота, в нём ты найдёшь одно из 10-ти сокровищ.</t>
  </si>
  <si>
    <t>Собирай Сокровища Камелота, вскрывая отмычками Сундук сокровищ Камелота дома и в гостях.</t>
  </si>
  <si>
    <t>ВНИМАНИЕ! Одна попытка вскрыть замок только раз в 1 час 30 минут!</t>
  </si>
  <si>
    <t>Можно вскрыть через:</t>
  </si>
  <si>
    <t>Вскрыть</t>
  </si>
  <si>
    <t>Вскрыть сейчас за {price}</t>
  </si>
  <si>
    <t>extra.resource</t>
  </si>
  <si>
    <t>Fun11_Exchanger_RG_1</t>
  </si>
  <si>
    <t>Fun11_Exchanger_RG_2</t>
  </si>
  <si>
    <t>Fun11_Exchanger_RG_3</t>
  </si>
  <si>
    <t>Fun11_Exchanger_RG_4</t>
  </si>
  <si>
    <t>Fun11_Exchanger_RG_5</t>
  </si>
  <si>
    <t>/debris/Fun/Fun10/Fun10_TimerEmpty_1.proto.js</t>
  </si>
  <si>
    <t>/debris/Fun/Fun10/Fun10_Real_1.proto.js</t>
  </si>
  <si>
    <t>/debris/Fun/Fun10/Fun10_Fake_1.proto.js</t>
  </si>
  <si>
    <t>meta_info</t>
  </si>
  <si>
    <t>/debris/Fun/Fun12/Fun12_FunCollection_4.proto.js</t>
  </si>
  <si>
    <t>Fun12_FunCollection_4</t>
  </si>
  <si>
    <t>Пустая миска</t>
  </si>
  <si>
    <t>buy_spoil_title=Детеныши пока сыты! Подожди немного.;buy_spoil_btn=Ускорить ожидание за {price};can_be_drug_from_inventory=0;disposition=no_gravitation;buy_spoil_icon=Fun12_FunCollection_4_Icon</t>
  </si>
  <si>
    <t>extra.pop_up_message</t>
  </si>
  <si>
    <t>extra.window_skin</t>
  </si>
  <si>
    <t>/debris/Fun/Fun12/Fun12_FunCollection_4_Real.proto.js</t>
  </si>
  <si>
    <t>Fun12_FunCollection_4_Real</t>
  </si>
  <si>
    <t>Ласковый детёныш</t>
  </si>
  <si>
    <t>К миске подошел Ласковый детёныш!</t>
  </si>
  <si>
    <t>Fun12_FunCollection_4_Real_Window</t>
  </si>
  <si>
    <t>Покорми детёныша пряным мяском. Сразу после этого получишь одно из 10-ти перьев!</t>
  </si>
  <si>
    <t>/debris/Fun/Fun12/Fun12_FunCollection_4_Fake.proto.js</t>
  </si>
  <si>
    <t>Fun12_FunCollection_4_Fake</t>
  </si>
  <si>
    <t>Проказливый детёныш</t>
  </si>
  <si>
    <t>К миске подошел Проказливый детёныш!</t>
  </si>
  <si>
    <t>Fun12_FunCollection_4_Fake_Window</t>
  </si>
  <si>
    <t>Покорми детёныша пряным мяском. Он покушает и пойдёт дальше играть!</t>
  </si>
  <si>
    <t>description</t>
  </si>
  <si>
    <t>/workbench_item/Fun10/Fun10_Real_GR_1.proto.js</t>
  </si>
  <si>
    <t>/workbench_item/Fun11/Fun12_FunCollection_4_GR_1.proto.js</t>
  </si>
  <si>
    <t>Fun12_FunCollection_4_GR_1</t>
  </si>
  <si>
    <t>Пряное мяско</t>
  </si>
  <si>
    <t>Можно найти убирая мусор в локации Странствия</t>
  </si>
  <si>
    <t>/quest_item/Fun/Fun10/Fun10_Real_R_1.proto.js</t>
  </si>
  <si>
    <t>/quest_item/Fun/Fun12/Fun12_FunCollection_4_CL_1.proto.js</t>
  </si>
  <si>
    <t>Fun12_FunCollection_4_CL_1</t>
  </si>
  <si>
    <t>Монохромное перо</t>
  </si>
  <si>
    <t>Можно получить у Зефира, если покормить детенышей виверны Пряным мяском</t>
  </si>
  <si>
    <t>/quest_item/Fun/Fun10/Fun10_Real_R_2.proto.js</t>
  </si>
  <si>
    <t>/quest_item/Fun/Fun12/Fun12_FunCollection_4_CL_2.proto.js</t>
  </si>
  <si>
    <t>Fun12_FunCollection_4_CL_2</t>
  </si>
  <si>
    <t>Перо пробуждения</t>
  </si>
  <si>
    <t>/quest_item/Fun/Fun10/Fun10_Real_R_3.proto.js</t>
  </si>
  <si>
    <t>/quest_item/Fun/Fun12/Fun12_FunCollection_4_CL_3.proto.js</t>
  </si>
  <si>
    <t>Fun12_FunCollection_4_CL_3</t>
  </si>
  <si>
    <t>Перо познания</t>
  </si>
  <si>
    <t>/quest_item/Fun/Fun10/Fun10_Real_R_4.proto.js</t>
  </si>
  <si>
    <t>/quest_item/Fun/Fun12/Fun12_FunCollection_4_CL_4.proto.js</t>
  </si>
  <si>
    <t>Fun12_FunCollection_4_CL_4</t>
  </si>
  <si>
    <t>Огненное перо</t>
  </si>
  <si>
    <t>/quest_item/Fun/Fun10/Fun10_Real_R_5.proto.js</t>
  </si>
  <si>
    <t>/quest_item/Fun/Fun12/Fun12_FunCollection_4_CL_5.proto.js</t>
  </si>
  <si>
    <t>Fun12_FunCollection_4_CL_5</t>
  </si>
  <si>
    <t>Перо нежности</t>
  </si>
  <si>
    <t>/quest_item/Fun/Fun10/Fun10_Real_R_6.proto.js</t>
  </si>
  <si>
    <t>/quest_item/Fun/Fun12/Fun12_FunCollection_4_CL_6.proto.js</t>
  </si>
  <si>
    <t>Fun12_FunCollection_4_CL_6</t>
  </si>
  <si>
    <t>Небесное перо</t>
  </si>
  <si>
    <t>/quest_item/Fun/Fun10/Fun10_Real_R_7.proto.js</t>
  </si>
  <si>
    <t>/quest_item/Fun/Fun12/Fun12_FunCollection_4_CL_7.proto.js</t>
  </si>
  <si>
    <t>Fun12_FunCollection_4_CL_7</t>
  </si>
  <si>
    <t>Перо стужи</t>
  </si>
  <si>
    <t>/quest_item/Fun/Fun10/Fun10_Real_R_8.proto.js</t>
  </si>
  <si>
    <t>/quest_item/Fun/Fun12/Fun12_FunCollection_4_CL_8.proto.js</t>
  </si>
  <si>
    <t>Fun12_FunCollection_4_CL_8</t>
  </si>
  <si>
    <t>Перо глубин</t>
  </si>
  <si>
    <t>/quest_item/Fun/Fun10/Fun10_Real_R_9.proto.js</t>
  </si>
  <si>
    <t>/quest_item/Fun/Fun12/Fun12_FunCollection_4_CL_9.proto.js</t>
  </si>
  <si>
    <t>Fun12_FunCollection_4_CL_9</t>
  </si>
  <si>
    <t>Перо маскарада</t>
  </si>
  <si>
    <t>/quest_item/Fun/Fun10/Fun10_Real_R_10.proto.js</t>
  </si>
  <si>
    <t>/quest_item/Fun/Fun12/Fun12_FunCollection_4_CL_10.proto.js</t>
  </si>
  <si>
    <t>Fun12_FunCollection_4_CL_10</t>
  </si>
  <si>
    <t>Перо мрака</t>
  </si>
  <si>
    <t>Нейтральное состояние.</t>
  </si>
  <si>
    <t>Хорошоее состояние.</t>
  </si>
  <si>
    <t>Плохое состояние</t>
  </si>
  <si>
    <t>Ресурсы</t>
  </si>
  <si>
    <t>replace</t>
  </si>
  <si>
    <t>Fun10_TimerEmpty_1</t>
  </si>
  <si>
    <t>find</t>
  </si>
  <si>
    <t>Fun10_Fake_1</t>
  </si>
  <si>
    <t>Fun10_Real_1</t>
  </si>
  <si>
    <t>Fun10_Real_GR_1</t>
  </si>
  <si>
    <t>Fun10_Real_R_</t>
  </si>
  <si>
    <t>Fun12_FunCollection_4_CL_</t>
  </si>
  <si>
    <t>ignore</t>
  </si>
  <si>
    <t>reward</t>
  </si>
  <si>
    <t>price</t>
  </si>
  <si>
    <t>Количество ассетов</t>
  </si>
  <si>
    <t>stuff_icon</t>
  </si>
  <si>
    <t>/asset_package/Fun/Fun10/Fun10_Real_GR_1_Package.proto.js</t>
  </si>
  <si>
    <t>Пакеты ресурсов. Прописать в \trunk\server\prototypes\context_shop\shop_invisible.proto.js</t>
  </si>
  <si>
    <t>view_classname</t>
  </si>
  <si>
    <t>file_name</t>
  </si>
  <si>
    <t>actions</t>
  </si>
  <si>
    <t>location_tags</t>
  </si>
  <si>
    <t>rand_reward.p</t>
  </si>
  <si>
    <t>rand_reward.asset</t>
  </si>
  <si>
    <t>conditions</t>
  </si>
  <si>
    <t>/global_reward/Fun11/Fun11_FunCollection_1_GR_1.proto.js</t>
  </si>
  <si>
    <t>clean_garbage</t>
  </si>
  <si>
    <t>Fun12_loc_2</t>
  </si>
  <si>
    <t>active_quest=Fun12_Tech_Weekly_4</t>
  </si>
  <si>
    <t>Способы получения ресурсов.</t>
  </si>
  <si>
    <t>/furniture/Fun/Fun10/Fun10_Mockery_Effect.proto.js</t>
  </si>
  <si>
    <t>/furniture/Fun/Fun12/Fun12_Mockery_Effect.proto.js</t>
  </si>
  <si>
    <t>Fun12_Mockery_Effect</t>
  </si>
  <si>
    <t>Назойливый свиристель (аналог приставучего сурка)</t>
  </si>
  <si>
    <t>/furniture/Fun/Fun10/Fun10_Mockery_Clothes.proto.js</t>
  </si>
  <si>
    <t>/furniture/Fun/Fun12/Fun12_Mockery_Clothes.proto.js</t>
  </si>
  <si>
    <t>Fun12_Mockery_Clothes</t>
  </si>
  <si>
    <t>Проброска одежды</t>
  </si>
  <si>
    <t>/furniture/Fun/Fun10/Fun10_Mockery_Clothes_Head.proto.js</t>
  </si>
  <si>
    <t>/furniture/Fun/Fun12/Fun12_Mockery_Clothes_Head.proto.js</t>
  </si>
  <si>
    <t>Fun12_Mockery_Clothes_Head</t>
  </si>
  <si>
    <t>Смешная шляпа (Шапка "Волк")</t>
  </si>
  <si>
    <t>/furniture/Fun/Fun10/Fun10_Mockery_Obstruction.proto.js</t>
  </si>
  <si>
    <t>/furniture/Fun/Fun12/Fun12_Mockery_Obstruction.proto.js</t>
  </si>
  <si>
    <t>Fun12_Mockery_Obstruction</t>
  </si>
  <si>
    <t>Шишковый завал</t>
  </si>
  <si>
    <t>/furniture/Fun/Fun10/Fun10_Mockery_Sleep.proto.js</t>
  </si>
  <si>
    <t>/furniture/Fun/Fun12/Fun12_Mockery_Sleep.proto.js</t>
  </si>
  <si>
    <t>Fun12_Mockery_Sleep</t>
  </si>
  <si>
    <t>Сонная пыльца</t>
  </si>
  <si>
    <t>/furniture/Fun/Fun10/Fun10_Mockery_Harpy.proto.js</t>
  </si>
  <si>
    <t>/furniture/Fun/Fun12/Fun12_Mockery_Harpy.proto.js</t>
  </si>
  <si>
    <t>Fun12_Mockery_Harpy</t>
  </si>
  <si>
    <t>Гарпия</t>
  </si>
  <si>
    <t>Негативные эффекты.</t>
  </si>
  <si>
    <t>Fun10_Mockery</t>
  </si>
  <si>
    <t>Fun12_Mockery</t>
  </si>
  <si>
    <t>Fun10_Info_1</t>
  </si>
  <si>
    <t>Fun12_FunCollection_4_Info</t>
  </si>
  <si>
    <t>Fun10_Mockery_Sleep</t>
  </si>
  <si>
    <t>Fun10_Mockery_Clothes_Head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</si>
</sst>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3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17" xfId="0" applyFill="1" applyBorder="1"/>
    <xf numFmtId="0" fontId="0" fillId="3" borderId="18" xfId="0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10" xfId="0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1" xfId="0" applyFill="1" applyBorder="1"/>
    <xf numFmtId="0" fontId="0" fillId="3" borderId="22" xfId="0" applyFill="1" applyBorder="1"/>
    <xf numFmtId="0" fontId="0" fillId="3" borderId="1" xfId="0" applyFill="1" applyBorder="1"/>
    <xf numFmtId="0" fontId="0" fillId="0" borderId="2" xfId="0" applyBorder="1"/>
    <xf numFmtId="0" fontId="0" fillId="9" borderId="22" xfId="0" applyFill="1" applyBorder="1"/>
    <xf numFmtId="0" fontId="0" fillId="9" borderId="1" xfId="0" applyFill="1" applyBorder="1"/>
    <xf numFmtId="0" fontId="0" fillId="7" borderId="1" xfId="0" applyFill="1" applyBorder="1" applyAlignment="1">
      <alignment horizontal="center"/>
    </xf>
    <xf numFmtId="0" fontId="0" fillId="8" borderId="23" xfId="0" applyFill="1" applyBorder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3" borderId="1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abSelected="1" topLeftCell="C1" workbookViewId="0">
      <selection activeCell="D15" sqref="D15"/>
    </sheetView>
  </sheetViews>
  <sheetFormatPr defaultRowHeight="15" x14ac:dyDescent="0.25"/>
  <cols>
    <col min="1" max="1" width="21.42578125" bestFit="1" customWidth="1"/>
    <col min="2" max="2" width="48.140625" bestFit="1" customWidth="1"/>
    <col min="3" max="3" width="77.7109375" bestFit="1" customWidth="1"/>
    <col min="4" max="4" width="48" bestFit="1" customWidth="1"/>
    <col min="5" max="5" width="22.5703125" bestFit="1" customWidth="1"/>
    <col min="6" max="6" width="15" customWidth="1"/>
    <col min="7" max="7" width="36" bestFit="1" customWidth="1"/>
    <col min="8" max="8" width="14.5703125" customWidth="1"/>
    <col min="9" max="9" width="27.28515625" customWidth="1"/>
    <col min="10" max="10" width="26.85546875" customWidth="1"/>
    <col min="11" max="11" width="27.28515625" bestFit="1" customWidth="1"/>
    <col min="12" max="12" width="13.5703125" bestFit="1" customWidth="1"/>
    <col min="13" max="13" width="27.28515625" bestFit="1" customWidth="1"/>
    <col min="14" max="14" width="16.7109375" bestFit="1" customWidth="1"/>
    <col min="15" max="15" width="27" bestFit="1" customWidth="1"/>
    <col min="16" max="16" width="14.42578125" bestFit="1" customWidth="1"/>
    <col min="17" max="17" width="26.140625" bestFit="1" customWidth="1"/>
  </cols>
  <sheetData>
    <row r="1" spans="1:19" x14ac:dyDescent="0.25">
      <c r="B1" s="33" t="s">
        <v>125</v>
      </c>
      <c r="C1" s="33"/>
      <c r="D1" s="33"/>
      <c r="E1" s="33"/>
      <c r="F1" s="33"/>
      <c r="G1" s="34"/>
    </row>
    <row r="2" spans="1:19" x14ac:dyDescent="0.25">
      <c r="A2" s="26" t="s">
        <v>15</v>
      </c>
      <c r="B2" s="26" t="s">
        <v>13</v>
      </c>
      <c r="C2" s="26" t="s">
        <v>13</v>
      </c>
      <c r="D2" s="26" t="s">
        <v>13</v>
      </c>
      <c r="E2" s="26" t="s">
        <v>13</v>
      </c>
      <c r="F2" s="26" t="s">
        <v>13</v>
      </c>
      <c r="G2" s="26" t="s">
        <v>14</v>
      </c>
      <c r="H2" s="32" t="s">
        <v>129</v>
      </c>
      <c r="I2" s="32"/>
      <c r="J2" s="32" t="s">
        <v>129</v>
      </c>
      <c r="K2" s="32"/>
      <c r="L2" s="32" t="s">
        <v>129</v>
      </c>
      <c r="M2" s="32"/>
      <c r="N2" s="32" t="s">
        <v>129</v>
      </c>
      <c r="O2" s="32"/>
    </row>
    <row r="3" spans="1:19" x14ac:dyDescent="0.25">
      <c r="B3" s="1" t="s">
        <v>7</v>
      </c>
      <c r="C3" s="1" t="s">
        <v>8</v>
      </c>
      <c r="D3" s="1" t="s">
        <v>0</v>
      </c>
      <c r="E3" s="1" t="s">
        <v>3</v>
      </c>
      <c r="F3" s="1" t="s">
        <v>59</v>
      </c>
      <c r="G3" s="1" t="s">
        <v>5</v>
      </c>
      <c r="H3" s="1" t="s">
        <v>131</v>
      </c>
      <c r="I3" s="1" t="s">
        <v>129</v>
      </c>
      <c r="J3" s="1" t="s">
        <v>131</v>
      </c>
      <c r="K3" s="1" t="s">
        <v>129</v>
      </c>
      <c r="L3" s="1" t="s">
        <v>131</v>
      </c>
      <c r="M3" s="1" t="s">
        <v>129</v>
      </c>
      <c r="N3" s="1" t="s">
        <v>131</v>
      </c>
      <c r="O3" s="1" t="s">
        <v>129</v>
      </c>
    </row>
    <row r="4" spans="1:19" x14ac:dyDescent="0.25">
      <c r="B4" t="s">
        <v>56</v>
      </c>
      <c r="C4" t="s">
        <v>60</v>
      </c>
      <c r="D4" t="s">
        <v>61</v>
      </c>
      <c r="E4" t="s">
        <v>62</v>
      </c>
      <c r="F4" t="s">
        <v>63</v>
      </c>
      <c r="G4">
        <v>68092</v>
      </c>
      <c r="H4" t="s">
        <v>130</v>
      </c>
      <c r="I4" t="s">
        <v>61</v>
      </c>
      <c r="J4" t="s">
        <v>132</v>
      </c>
      <c r="K4" t="s">
        <v>73</v>
      </c>
      <c r="L4" t="s">
        <v>133</v>
      </c>
      <c r="M4" t="s">
        <v>67</v>
      </c>
      <c r="N4">
        <v>384</v>
      </c>
      <c r="O4">
        <v>398</v>
      </c>
    </row>
    <row r="6" spans="1:19" x14ac:dyDescent="0.25">
      <c r="B6" s="33" t="s">
        <v>126</v>
      </c>
      <c r="C6" s="33"/>
      <c r="D6" s="33"/>
      <c r="E6" s="33"/>
      <c r="F6" s="33"/>
      <c r="G6" s="33"/>
      <c r="H6" s="33"/>
      <c r="I6" s="33"/>
    </row>
    <row r="7" spans="1:19" x14ac:dyDescent="0.25">
      <c r="A7" s="26" t="s">
        <v>15</v>
      </c>
      <c r="B7" s="26" t="s">
        <v>13</v>
      </c>
      <c r="C7" s="26" t="s">
        <v>13</v>
      </c>
      <c r="D7" s="26" t="s">
        <v>13</v>
      </c>
      <c r="E7" s="26" t="s">
        <v>13</v>
      </c>
      <c r="F7" s="26" t="s">
        <v>13</v>
      </c>
      <c r="G7" s="26" t="s">
        <v>13</v>
      </c>
      <c r="H7" s="26" t="s">
        <v>13</v>
      </c>
      <c r="I7" s="26" t="s">
        <v>14</v>
      </c>
      <c r="J7" s="32" t="s">
        <v>129</v>
      </c>
      <c r="K7" s="32"/>
      <c r="L7" s="32" t="s">
        <v>129</v>
      </c>
      <c r="M7" s="32"/>
      <c r="N7" s="32" t="s">
        <v>129</v>
      </c>
      <c r="O7" s="32"/>
      <c r="P7" s="32" t="s">
        <v>129</v>
      </c>
      <c r="Q7" s="32"/>
      <c r="R7" s="32" t="s">
        <v>129</v>
      </c>
      <c r="S7" s="32"/>
    </row>
    <row r="8" spans="1:19" x14ac:dyDescent="0.25">
      <c r="B8" s="1" t="s">
        <v>7</v>
      </c>
      <c r="C8" s="1" t="s">
        <v>8</v>
      </c>
      <c r="D8" s="1" t="s">
        <v>0</v>
      </c>
      <c r="E8" s="1" t="s">
        <v>3</v>
      </c>
      <c r="F8" s="1" t="s">
        <v>64</v>
      </c>
      <c r="G8" s="1" t="s">
        <v>65</v>
      </c>
      <c r="H8" s="1" t="s">
        <v>64</v>
      </c>
      <c r="I8" s="1" t="s">
        <v>5</v>
      </c>
      <c r="J8" s="1" t="s">
        <v>131</v>
      </c>
      <c r="K8" s="1" t="s">
        <v>129</v>
      </c>
      <c r="L8" s="1" t="s">
        <v>131</v>
      </c>
      <c r="M8" s="1" t="s">
        <v>129</v>
      </c>
      <c r="N8" s="1" t="s">
        <v>131</v>
      </c>
      <c r="O8" s="1" t="s">
        <v>129</v>
      </c>
      <c r="P8" s="1" t="s">
        <v>131</v>
      </c>
      <c r="Q8" s="1" t="s">
        <v>129</v>
      </c>
      <c r="R8" s="1" t="s">
        <v>131</v>
      </c>
      <c r="S8" s="1" t="s">
        <v>129</v>
      </c>
    </row>
    <row r="9" spans="1:19" x14ac:dyDescent="0.25">
      <c r="B9" t="s">
        <v>57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>
        <v>68093</v>
      </c>
      <c r="J9" t="s">
        <v>130</v>
      </c>
      <c r="K9" t="s">
        <v>61</v>
      </c>
      <c r="L9" t="s">
        <v>133</v>
      </c>
      <c r="M9" t="s">
        <v>67</v>
      </c>
      <c r="N9" t="s">
        <v>134</v>
      </c>
      <c r="O9" t="s">
        <v>81</v>
      </c>
      <c r="P9" t="s">
        <v>135</v>
      </c>
      <c r="Q9" t="s">
        <v>136</v>
      </c>
      <c r="R9">
        <v>384</v>
      </c>
      <c r="S9">
        <v>398</v>
      </c>
    </row>
    <row r="12" spans="1:19" x14ac:dyDescent="0.25">
      <c r="B12" s="33" t="s">
        <v>127</v>
      </c>
      <c r="C12" s="33"/>
      <c r="D12" s="33"/>
      <c r="E12" s="33"/>
      <c r="F12" s="33"/>
      <c r="G12" s="33"/>
      <c r="H12" s="33"/>
      <c r="I12" s="33"/>
    </row>
    <row r="13" spans="1:19" x14ac:dyDescent="0.25">
      <c r="A13" s="26" t="s">
        <v>15</v>
      </c>
      <c r="B13" s="26" t="s">
        <v>13</v>
      </c>
      <c r="C13" s="26" t="s">
        <v>13</v>
      </c>
      <c r="D13" s="26" t="s">
        <v>13</v>
      </c>
      <c r="E13" s="26" t="s">
        <v>13</v>
      </c>
      <c r="F13" s="26" t="s">
        <v>13</v>
      </c>
      <c r="G13" s="26" t="s">
        <v>13</v>
      </c>
      <c r="H13" s="26" t="s">
        <v>13</v>
      </c>
      <c r="I13" s="26" t="s">
        <v>14</v>
      </c>
      <c r="J13" s="32" t="s">
        <v>129</v>
      </c>
      <c r="K13" s="32"/>
      <c r="L13" s="32" t="s">
        <v>129</v>
      </c>
      <c r="M13" s="32"/>
      <c r="N13" s="32" t="s">
        <v>129</v>
      </c>
      <c r="O13" s="32"/>
      <c r="P13" s="32" t="s">
        <v>129</v>
      </c>
      <c r="Q13" s="32"/>
      <c r="R13" s="32" t="s">
        <v>129</v>
      </c>
      <c r="S13" s="32"/>
    </row>
    <row r="14" spans="1:19" x14ac:dyDescent="0.25">
      <c r="B14" s="1" t="s">
        <v>7</v>
      </c>
      <c r="C14" s="1" t="s">
        <v>8</v>
      </c>
      <c r="D14" s="1" t="s">
        <v>0</v>
      </c>
      <c r="E14" s="1" t="s">
        <v>3</v>
      </c>
      <c r="F14" s="1" t="s">
        <v>64</v>
      </c>
      <c r="G14" s="1" t="s">
        <v>65</v>
      </c>
      <c r="H14" s="1" t="s">
        <v>64</v>
      </c>
      <c r="I14" s="1" t="s">
        <v>5</v>
      </c>
      <c r="J14" s="1" t="s">
        <v>131</v>
      </c>
      <c r="K14" s="1" t="s">
        <v>129</v>
      </c>
      <c r="L14" s="1" t="s">
        <v>131</v>
      </c>
      <c r="M14" s="1" t="s">
        <v>129</v>
      </c>
      <c r="N14" s="1" t="s">
        <v>131</v>
      </c>
      <c r="O14" s="1" t="s">
        <v>129</v>
      </c>
      <c r="P14" s="1" t="s">
        <v>131</v>
      </c>
      <c r="Q14" s="1" t="s">
        <v>129</v>
      </c>
      <c r="R14" s="1" t="s">
        <v>131</v>
      </c>
      <c r="S14" s="1" t="s">
        <v>129</v>
      </c>
    </row>
    <row r="15" spans="1:19" x14ac:dyDescent="0.25">
      <c r="B15" t="s">
        <v>58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>
        <v>68094</v>
      </c>
      <c r="J15" t="s">
        <v>130</v>
      </c>
      <c r="K15" t="s">
        <v>61</v>
      </c>
      <c r="L15" t="s">
        <v>132</v>
      </c>
      <c r="M15" t="s">
        <v>73</v>
      </c>
      <c r="N15" t="s">
        <v>134</v>
      </c>
      <c r="O15" t="s">
        <v>81</v>
      </c>
      <c r="P15" t="s">
        <v>181</v>
      </c>
      <c r="Q15" t="s">
        <v>182</v>
      </c>
      <c r="R15">
        <v>384</v>
      </c>
      <c r="S15">
        <v>398</v>
      </c>
    </row>
    <row r="17" spans="1:9" x14ac:dyDescent="0.25">
      <c r="B17" s="33" t="s">
        <v>128</v>
      </c>
      <c r="C17" s="33"/>
      <c r="D17" s="33"/>
      <c r="E17" s="33"/>
      <c r="F17" s="33"/>
      <c r="G17" s="33"/>
      <c r="H17" s="33"/>
    </row>
    <row r="18" spans="1:9" x14ac:dyDescent="0.25">
      <c r="A18" s="27" t="s">
        <v>15</v>
      </c>
      <c r="B18" s="28" t="s">
        <v>13</v>
      </c>
      <c r="C18" s="28" t="s">
        <v>13</v>
      </c>
      <c r="D18" s="28" t="s">
        <v>13</v>
      </c>
      <c r="E18" s="28" t="s">
        <v>13</v>
      </c>
      <c r="F18" s="28" t="s">
        <v>13</v>
      </c>
      <c r="G18" s="28" t="s">
        <v>14</v>
      </c>
      <c r="H18" s="28" t="s">
        <v>13</v>
      </c>
      <c r="I18" s="28" t="s">
        <v>13</v>
      </c>
    </row>
    <row r="19" spans="1:9" x14ac:dyDescent="0.25">
      <c r="B19" s="1" t="s">
        <v>7</v>
      </c>
      <c r="C19" s="1" t="s">
        <v>8</v>
      </c>
      <c r="D19" s="1" t="s">
        <v>0</v>
      </c>
      <c r="E19" s="1" t="s">
        <v>3</v>
      </c>
      <c r="F19" s="1" t="s">
        <v>78</v>
      </c>
      <c r="G19" s="1" t="s">
        <v>5</v>
      </c>
      <c r="H19" s="1" t="s">
        <v>59</v>
      </c>
      <c r="I19" s="1" t="s">
        <v>144</v>
      </c>
    </row>
    <row r="20" spans="1:9" x14ac:dyDescent="0.25">
      <c r="B20" s="2" t="s">
        <v>79</v>
      </c>
      <c r="C20" s="2" t="s">
        <v>80</v>
      </c>
      <c r="D20" s="2" t="s">
        <v>81</v>
      </c>
      <c r="E20" s="2" t="s">
        <v>82</v>
      </c>
      <c r="F20" s="2" t="s">
        <v>83</v>
      </c>
      <c r="G20" s="29">
        <v>68099</v>
      </c>
      <c r="H20" s="2" t="str">
        <f>"pack_asset="&amp;D35</f>
        <v>pack_asset=Fun12_FunCollection_4_GR_1_Package</v>
      </c>
      <c r="I20" s="2" t="str">
        <f>D20</f>
        <v>Fun12_FunCollection_4_GR_1</v>
      </c>
    </row>
    <row r="21" spans="1:9" x14ac:dyDescent="0.25">
      <c r="B21" s="2" t="s">
        <v>84</v>
      </c>
      <c r="C21" s="2" t="s">
        <v>85</v>
      </c>
      <c r="D21" s="2" t="s">
        <v>86</v>
      </c>
      <c r="E21" s="2" t="s">
        <v>87</v>
      </c>
      <c r="F21" s="2" t="s">
        <v>88</v>
      </c>
      <c r="G21" s="2">
        <v>68100</v>
      </c>
    </row>
    <row r="22" spans="1:9" x14ac:dyDescent="0.25">
      <c r="B22" s="2" t="s">
        <v>89</v>
      </c>
      <c r="C22" s="2" t="s">
        <v>90</v>
      </c>
      <c r="D22" s="2" t="s">
        <v>91</v>
      </c>
      <c r="E22" s="2" t="s">
        <v>92</v>
      </c>
      <c r="F22" s="2" t="s">
        <v>88</v>
      </c>
      <c r="G22" s="2">
        <v>68101</v>
      </c>
    </row>
    <row r="23" spans="1:9" x14ac:dyDescent="0.25">
      <c r="B23" s="2" t="s">
        <v>93</v>
      </c>
      <c r="C23" s="2" t="s">
        <v>94</v>
      </c>
      <c r="D23" s="2" t="s">
        <v>95</v>
      </c>
      <c r="E23" s="2" t="s">
        <v>96</v>
      </c>
      <c r="F23" s="2" t="s">
        <v>88</v>
      </c>
      <c r="G23" s="2">
        <v>68102</v>
      </c>
    </row>
    <row r="24" spans="1:9" x14ac:dyDescent="0.25">
      <c r="B24" s="2" t="s">
        <v>97</v>
      </c>
      <c r="C24" s="2" t="s">
        <v>98</v>
      </c>
      <c r="D24" s="2" t="s">
        <v>99</v>
      </c>
      <c r="E24" s="2" t="s">
        <v>100</v>
      </c>
      <c r="F24" s="2" t="s">
        <v>88</v>
      </c>
      <c r="G24" s="2">
        <v>68103</v>
      </c>
    </row>
    <row r="25" spans="1:9" x14ac:dyDescent="0.25">
      <c r="B25" s="2" t="s">
        <v>101</v>
      </c>
      <c r="C25" s="2" t="s">
        <v>102</v>
      </c>
      <c r="D25" s="2" t="s">
        <v>103</v>
      </c>
      <c r="E25" s="2" t="s">
        <v>104</v>
      </c>
      <c r="F25" s="2" t="s">
        <v>88</v>
      </c>
      <c r="G25" s="2">
        <v>68104</v>
      </c>
    </row>
    <row r="26" spans="1:9" x14ac:dyDescent="0.25">
      <c r="B26" s="2" t="s">
        <v>105</v>
      </c>
      <c r="C26" s="2" t="s">
        <v>106</v>
      </c>
      <c r="D26" s="2" t="s">
        <v>107</v>
      </c>
      <c r="E26" s="2" t="s">
        <v>108</v>
      </c>
      <c r="F26" s="2" t="s">
        <v>88</v>
      </c>
      <c r="G26" s="2">
        <v>68105</v>
      </c>
    </row>
    <row r="27" spans="1:9" x14ac:dyDescent="0.25">
      <c r="B27" s="2" t="s">
        <v>109</v>
      </c>
      <c r="C27" s="2" t="s">
        <v>110</v>
      </c>
      <c r="D27" s="2" t="s">
        <v>111</v>
      </c>
      <c r="E27" s="2" t="s">
        <v>112</v>
      </c>
      <c r="F27" s="2" t="s">
        <v>88</v>
      </c>
      <c r="G27" s="2">
        <v>68106</v>
      </c>
    </row>
    <row r="28" spans="1:9" x14ac:dyDescent="0.25">
      <c r="B28" s="2" t="s">
        <v>113</v>
      </c>
      <c r="C28" s="2" t="s">
        <v>114</v>
      </c>
      <c r="D28" s="2" t="s">
        <v>115</v>
      </c>
      <c r="E28" s="2" t="s">
        <v>116</v>
      </c>
      <c r="F28" s="2" t="s">
        <v>88</v>
      </c>
      <c r="G28" s="2">
        <v>68107</v>
      </c>
    </row>
    <row r="29" spans="1:9" x14ac:dyDescent="0.25">
      <c r="B29" s="2" t="s">
        <v>117</v>
      </c>
      <c r="C29" s="2" t="s">
        <v>118</v>
      </c>
      <c r="D29" s="2" t="s">
        <v>119</v>
      </c>
      <c r="E29" s="2" t="s">
        <v>120</v>
      </c>
      <c r="F29" s="2" t="s">
        <v>88</v>
      </c>
      <c r="G29" s="2">
        <v>68108</v>
      </c>
    </row>
    <row r="30" spans="1:9" x14ac:dyDescent="0.25">
      <c r="B30" s="2" t="s">
        <v>121</v>
      </c>
      <c r="C30" s="2" t="s">
        <v>122</v>
      </c>
      <c r="D30" s="2" t="s">
        <v>123</v>
      </c>
      <c r="E30" s="2" t="s">
        <v>124</v>
      </c>
      <c r="F30" s="2" t="s">
        <v>88</v>
      </c>
      <c r="G30" s="2">
        <v>68109</v>
      </c>
    </row>
    <row r="32" spans="1:9" x14ac:dyDescent="0.25">
      <c r="B32" s="33" t="s">
        <v>143</v>
      </c>
      <c r="C32" s="33"/>
      <c r="D32" s="33"/>
      <c r="E32" s="33"/>
      <c r="F32" s="33"/>
      <c r="G32" s="33"/>
      <c r="H32" s="33"/>
      <c r="I32" s="33"/>
    </row>
    <row r="33" spans="1:11" x14ac:dyDescent="0.25">
      <c r="A33" s="27" t="s">
        <v>15</v>
      </c>
      <c r="B33" s="28" t="s">
        <v>13</v>
      </c>
      <c r="C33" s="28" t="s">
        <v>13</v>
      </c>
      <c r="D33" s="28" t="s">
        <v>13</v>
      </c>
      <c r="E33" s="28" t="s">
        <v>13</v>
      </c>
      <c r="F33" s="28" t="s">
        <v>13</v>
      </c>
      <c r="G33" s="28" t="s">
        <v>14</v>
      </c>
      <c r="H33" s="28" t="s">
        <v>13</v>
      </c>
      <c r="I33" s="28" t="s">
        <v>14</v>
      </c>
      <c r="J33" s="28" t="s">
        <v>137</v>
      </c>
    </row>
    <row r="34" spans="1:11" x14ac:dyDescent="0.25">
      <c r="B34" s="1" t="s">
        <v>7</v>
      </c>
      <c r="C34" s="1" t="s">
        <v>8</v>
      </c>
      <c r="D34" s="1" t="s">
        <v>0</v>
      </c>
      <c r="E34" s="1" t="s">
        <v>3</v>
      </c>
      <c r="F34" s="1" t="s">
        <v>138</v>
      </c>
      <c r="G34" s="1" t="s">
        <v>139</v>
      </c>
      <c r="H34" s="1" t="s">
        <v>141</v>
      </c>
      <c r="I34" s="1" t="s">
        <v>5</v>
      </c>
      <c r="J34" s="1" t="s">
        <v>140</v>
      </c>
    </row>
    <row r="35" spans="1:11" x14ac:dyDescent="0.25">
      <c r="B35" s="2" t="s">
        <v>142</v>
      </c>
      <c r="C35" s="2" t="str">
        <f>"/asset_package/Fun/Fun12/"&amp;D35&amp;".proto.js"</f>
        <v>/asset_package/Fun/Fun12/Fun12_FunCollection_4_GR_1_Package.proto.js</v>
      </c>
      <c r="D35" s="2" t="str">
        <f>D20&amp;"_Package"</f>
        <v>Fun12_FunCollection_4_GR_1_Package</v>
      </c>
      <c r="E35" s="2" t="s">
        <v>82</v>
      </c>
      <c r="F35" s="2" t="str">
        <f>"asset="&amp;D20&amp;":"&amp;J35</f>
        <v>asset=Fun12_FunCollection_4_GR_1:2</v>
      </c>
      <c r="G35" s="2">
        <v>3</v>
      </c>
      <c r="H35" s="2" t="str">
        <f>D20</f>
        <v>Fun12_FunCollection_4_GR_1</v>
      </c>
      <c r="I35" s="2">
        <v>68110</v>
      </c>
      <c r="J35" s="2">
        <v>2</v>
      </c>
    </row>
    <row r="39" spans="1:11" x14ac:dyDescent="0.25">
      <c r="B39" s="33" t="s">
        <v>155</v>
      </c>
      <c r="C39" s="33"/>
      <c r="D39" s="33"/>
      <c r="E39" s="33"/>
      <c r="F39" s="33"/>
      <c r="G39" s="33"/>
      <c r="H39" s="33"/>
      <c r="I39" s="33"/>
    </row>
    <row r="40" spans="1:11" x14ac:dyDescent="0.25">
      <c r="A40" s="27" t="s">
        <v>15</v>
      </c>
      <c r="B40" s="28" t="s">
        <v>13</v>
      </c>
      <c r="C40" s="28" t="s">
        <v>13</v>
      </c>
      <c r="D40" s="28" t="s">
        <v>24</v>
      </c>
      <c r="E40" s="28" t="s">
        <v>24</v>
      </c>
      <c r="F40" s="28" t="s">
        <v>14</v>
      </c>
      <c r="G40" s="28" t="s">
        <v>13</v>
      </c>
      <c r="H40" s="28" t="s">
        <v>13</v>
      </c>
      <c r="I40" s="28" t="s">
        <v>14</v>
      </c>
      <c r="J40" s="28" t="s">
        <v>137</v>
      </c>
    </row>
    <row r="41" spans="1:11" x14ac:dyDescent="0.25">
      <c r="B41" s="1" t="s">
        <v>7</v>
      </c>
      <c r="C41" s="1" t="s">
        <v>8</v>
      </c>
      <c r="D41" s="1" t="s">
        <v>146</v>
      </c>
      <c r="E41" s="1" t="s">
        <v>147</v>
      </c>
      <c r="F41" s="1" t="s">
        <v>148</v>
      </c>
      <c r="G41" s="1" t="s">
        <v>149</v>
      </c>
      <c r="H41" s="1" t="s">
        <v>150</v>
      </c>
      <c r="I41" s="1" t="s">
        <v>5</v>
      </c>
      <c r="J41" s="1" t="s">
        <v>145</v>
      </c>
    </row>
    <row r="42" spans="1:11" x14ac:dyDescent="0.25">
      <c r="B42" s="2" t="s">
        <v>151</v>
      </c>
      <c r="C42" s="2" t="str">
        <f>"/global_reward/Fun12/"&amp;J42&amp;".proto.js"</f>
        <v>/global_reward/Fun12/Fun12_FunCollection_4_GR_1.proto.js</v>
      </c>
      <c r="D42" s="2" t="s">
        <v>152</v>
      </c>
      <c r="E42" s="2" t="s">
        <v>153</v>
      </c>
      <c r="F42" s="2">
        <v>40</v>
      </c>
      <c r="G42" s="2" t="str">
        <f>D20</f>
        <v>Fun12_FunCollection_4_GR_1</v>
      </c>
      <c r="H42" s="2" t="s">
        <v>154</v>
      </c>
      <c r="I42" s="2">
        <v>68111</v>
      </c>
      <c r="J42" s="2" t="str">
        <f>D20</f>
        <v>Fun12_FunCollection_4_GR_1</v>
      </c>
    </row>
    <row r="45" spans="1:11" x14ac:dyDescent="0.25">
      <c r="B45" s="33" t="s">
        <v>180</v>
      </c>
      <c r="C45" s="33"/>
      <c r="D45" s="33"/>
      <c r="E45" s="33"/>
      <c r="F45" s="33"/>
      <c r="G45" s="33"/>
    </row>
    <row r="46" spans="1:11" x14ac:dyDescent="0.25">
      <c r="A46" s="30" t="s">
        <v>15</v>
      </c>
      <c r="B46" s="31" t="s">
        <v>13</v>
      </c>
      <c r="C46" s="31" t="s">
        <v>13</v>
      </c>
      <c r="D46" s="31" t="s">
        <v>13</v>
      </c>
      <c r="E46" s="31" t="s">
        <v>13</v>
      </c>
      <c r="F46" s="31" t="s">
        <v>13</v>
      </c>
      <c r="G46" s="31" t="s">
        <v>14</v>
      </c>
      <c r="H46" s="32" t="s">
        <v>129</v>
      </c>
      <c r="I46" s="32"/>
      <c r="J46" s="32" t="s">
        <v>129</v>
      </c>
      <c r="K46" s="32"/>
    </row>
    <row r="47" spans="1:11" x14ac:dyDescent="0.25">
      <c r="B47" s="1" t="s">
        <v>7</v>
      </c>
      <c r="C47" s="1" t="s">
        <v>8</v>
      </c>
      <c r="D47" s="1" t="s">
        <v>0</v>
      </c>
      <c r="E47" s="1" t="s">
        <v>3</v>
      </c>
      <c r="F47" s="1" t="s">
        <v>78</v>
      </c>
      <c r="G47" s="1" t="s">
        <v>5</v>
      </c>
      <c r="H47" s="1" t="s">
        <v>131</v>
      </c>
      <c r="I47" s="1" t="s">
        <v>129</v>
      </c>
      <c r="J47" s="1" t="s">
        <v>131</v>
      </c>
      <c r="K47" s="1" t="s">
        <v>129</v>
      </c>
    </row>
    <row r="48" spans="1:11" x14ac:dyDescent="0.25">
      <c r="B48" s="2" t="s">
        <v>156</v>
      </c>
      <c r="C48" s="2" t="s">
        <v>157</v>
      </c>
      <c r="D48" s="2" t="s">
        <v>158</v>
      </c>
      <c r="E48" s="2" t="s">
        <v>159</v>
      </c>
      <c r="F48" s="2"/>
      <c r="G48" s="2">
        <v>68112</v>
      </c>
      <c r="H48" t="s">
        <v>183</v>
      </c>
      <c r="I48" t="s">
        <v>184</v>
      </c>
    </row>
    <row r="49" spans="2:11" x14ac:dyDescent="0.25">
      <c r="B49" s="2" t="s">
        <v>160</v>
      </c>
      <c r="C49" s="2" t="s">
        <v>161</v>
      </c>
      <c r="D49" s="2" t="s">
        <v>162</v>
      </c>
      <c r="E49" s="2" t="s">
        <v>163</v>
      </c>
      <c r="F49" s="2"/>
      <c r="G49" s="2">
        <v>68113</v>
      </c>
      <c r="H49" t="s">
        <v>183</v>
      </c>
      <c r="I49" t="s">
        <v>184</v>
      </c>
      <c r="J49" t="s">
        <v>186</v>
      </c>
      <c r="K49" t="s">
        <v>166</v>
      </c>
    </row>
    <row r="50" spans="2:11" x14ac:dyDescent="0.25">
      <c r="B50" s="2" t="s">
        <v>164</v>
      </c>
      <c r="C50" s="2" t="s">
        <v>165</v>
      </c>
      <c r="D50" s="2" t="s">
        <v>166</v>
      </c>
      <c r="E50" s="2" t="s">
        <v>167</v>
      </c>
      <c r="F50" s="2"/>
      <c r="G50" s="2">
        <v>68114</v>
      </c>
      <c r="H50" t="s">
        <v>183</v>
      </c>
      <c r="I50" t="s">
        <v>184</v>
      </c>
    </row>
    <row r="51" spans="2:11" x14ac:dyDescent="0.25">
      <c r="B51" s="2" t="s">
        <v>168</v>
      </c>
      <c r="C51" s="2" t="s">
        <v>169</v>
      </c>
      <c r="D51" s="2" t="s">
        <v>170</v>
      </c>
      <c r="E51" s="2" t="s">
        <v>171</v>
      </c>
      <c r="F51" s="2"/>
      <c r="G51" s="2">
        <v>68115</v>
      </c>
      <c r="H51" t="s">
        <v>183</v>
      </c>
      <c r="I51" t="s">
        <v>184</v>
      </c>
      <c r="J51" t="s">
        <v>132</v>
      </c>
      <c r="K51" t="s">
        <v>73</v>
      </c>
    </row>
    <row r="52" spans="2:11" x14ac:dyDescent="0.25">
      <c r="B52" s="2" t="s">
        <v>172</v>
      </c>
      <c r="C52" s="2" t="s">
        <v>173</v>
      </c>
      <c r="D52" s="2" t="s">
        <v>174</v>
      </c>
      <c r="E52" s="2" t="s">
        <v>175</v>
      </c>
      <c r="F52" s="2"/>
      <c r="G52" s="2">
        <v>68116</v>
      </c>
      <c r="H52" t="s">
        <v>183</v>
      </c>
      <c r="I52" t="s">
        <v>184</v>
      </c>
      <c r="J52" t="s">
        <v>185</v>
      </c>
      <c r="K52" s="2" t="s">
        <v>174</v>
      </c>
    </row>
    <row r="53" spans="2:11" x14ac:dyDescent="0.25">
      <c r="B53" s="2" t="s">
        <v>176</v>
      </c>
      <c r="C53" s="2" t="s">
        <v>177</v>
      </c>
      <c r="D53" s="2" t="s">
        <v>178</v>
      </c>
      <c r="E53" s="2" t="s">
        <v>179</v>
      </c>
      <c r="F53" s="2"/>
      <c r="G53" s="2">
        <v>68117</v>
      </c>
      <c r="H53" t="s">
        <v>183</v>
      </c>
      <c r="I53" t="s">
        <v>184</v>
      </c>
    </row>
  </sheetData>
  <mergeCells count="23">
    <mergeCell ref="B45:G45"/>
    <mergeCell ref="P13:Q13"/>
    <mergeCell ref="H46:I46"/>
    <mergeCell ref="J46:K46"/>
    <mergeCell ref="B39:I39"/>
    <mergeCell ref="B32:I32"/>
    <mergeCell ref="B17:H17"/>
    <mergeCell ref="N13:O13"/>
    <mergeCell ref="B1:G1"/>
    <mergeCell ref="B6:I6"/>
    <mergeCell ref="B12:I12"/>
    <mergeCell ref="H2:I2"/>
    <mergeCell ref="J2:K2"/>
    <mergeCell ref="L2:M2"/>
    <mergeCell ref="N2:O2"/>
    <mergeCell ref="J7:K7"/>
    <mergeCell ref="L7:M7"/>
    <mergeCell ref="N7:O7"/>
    <mergeCell ref="P7:Q7"/>
    <mergeCell ref="R7:S7"/>
    <mergeCell ref="J13:K13"/>
    <mergeCell ref="L13:M13"/>
    <mergeCell ref="R13:S1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A2" sqref="A2:C5"/>
    </sheetView>
  </sheetViews>
  <sheetFormatPr defaultRowHeight="15" x14ac:dyDescent="0.25"/>
  <cols>
    <col min="1" max="1" width="14.28515625" customWidth="1"/>
    <col min="2" max="2" width="40.140625" bestFit="1" customWidth="1"/>
    <col min="3" max="3" width="44.42578125" bestFit="1" customWidth="1"/>
    <col min="4" max="4" width="30.28515625" bestFit="1" customWidth="1"/>
    <col min="5" max="5" width="10.28515625" bestFit="1" customWidth="1"/>
    <col min="6" max="8" width="22" bestFit="1" customWidth="1"/>
  </cols>
  <sheetData>
    <row r="1" spans="1:9" ht="15.75" thickBot="1" x14ac:dyDescent="0.3"/>
    <row r="2" spans="1:9" ht="15.75" thickBot="1" x14ac:dyDescent="0.3">
      <c r="A2" s="9" t="s">
        <v>15</v>
      </c>
      <c r="B2" s="18" t="s">
        <v>13</v>
      </c>
      <c r="C2" s="18" t="s">
        <v>13</v>
      </c>
      <c r="D2" s="19" t="s">
        <v>13</v>
      </c>
      <c r="E2" s="13" t="s">
        <v>13</v>
      </c>
      <c r="F2" s="35" t="s">
        <v>24</v>
      </c>
      <c r="G2" s="35"/>
      <c r="H2" s="14" t="s">
        <v>14</v>
      </c>
    </row>
    <row r="3" spans="1:9" x14ac:dyDescent="0.25">
      <c r="B3" s="15" t="s">
        <v>7</v>
      </c>
      <c r="C3" s="16" t="s">
        <v>8</v>
      </c>
      <c r="D3" s="16" t="s">
        <v>0</v>
      </c>
      <c r="E3" s="16" t="s">
        <v>3</v>
      </c>
      <c r="F3" s="36" t="s">
        <v>21</v>
      </c>
      <c r="G3" s="36"/>
      <c r="H3" s="17" t="s">
        <v>5</v>
      </c>
    </row>
    <row r="4" spans="1:9" x14ac:dyDescent="0.25">
      <c r="B4" s="4" t="s">
        <v>2</v>
      </c>
      <c r="C4" s="2" t="str">
        <f>"/build/"&amp;D4&amp;".proto.js"</f>
        <v>/build/Fun11_Restoration_Generator_1.proto.js</v>
      </c>
      <c r="D4" s="2" t="s">
        <v>26</v>
      </c>
      <c r="E4" s="2" t="s">
        <v>4</v>
      </c>
      <c r="F4" s="2" t="s">
        <v>22</v>
      </c>
      <c r="G4" s="2" t="s">
        <v>23</v>
      </c>
      <c r="H4" s="5">
        <v>67403</v>
      </c>
    </row>
    <row r="5" spans="1:9" ht="15.75" thickBot="1" x14ac:dyDescent="0.3">
      <c r="B5" s="6" t="s">
        <v>2</v>
      </c>
      <c r="C5" s="7" t="str">
        <f>"/build/"&amp;D5&amp;".proto.js"</f>
        <v>/build/Fun11_Restoration_Generator_2.proto.js</v>
      </c>
      <c r="D5" s="7" t="s">
        <v>6</v>
      </c>
      <c r="E5" s="7" t="s">
        <v>4</v>
      </c>
      <c r="F5" s="7">
        <v>10</v>
      </c>
      <c r="G5" s="7">
        <v>5</v>
      </c>
      <c r="H5" s="8">
        <v>67404</v>
      </c>
    </row>
    <row r="8" spans="1:9" ht="15.75" thickBot="1" x14ac:dyDescent="0.3"/>
    <row r="9" spans="1:9" ht="15.75" thickBot="1" x14ac:dyDescent="0.3">
      <c r="A9" s="9" t="s">
        <v>15</v>
      </c>
      <c r="B9" s="18" t="s">
        <v>13</v>
      </c>
      <c r="C9" s="18" t="s">
        <v>13</v>
      </c>
      <c r="D9" s="18" t="s">
        <v>13</v>
      </c>
      <c r="E9" s="18" t="s">
        <v>13</v>
      </c>
      <c r="F9" s="14" t="s">
        <v>14</v>
      </c>
    </row>
    <row r="10" spans="1:9" x14ac:dyDescent="0.25">
      <c r="B10" s="15" t="s">
        <v>7</v>
      </c>
      <c r="C10" s="16" t="s">
        <v>8</v>
      </c>
      <c r="D10" s="16" t="s">
        <v>0</v>
      </c>
      <c r="E10" s="16" t="s">
        <v>3</v>
      </c>
      <c r="F10" s="17" t="s">
        <v>5</v>
      </c>
    </row>
    <row r="11" spans="1:9" x14ac:dyDescent="0.25">
      <c r="B11" s="4" t="s">
        <v>2</v>
      </c>
      <c r="C11" s="2" t="str">
        <f>"/build/"&amp;D11&amp;".proto.js"</f>
        <v>/build/Fun11_Restoration_Generator_3.proto.js</v>
      </c>
      <c r="D11" s="2" t="s">
        <v>25</v>
      </c>
      <c r="E11" s="2" t="s">
        <v>4</v>
      </c>
      <c r="F11" s="5">
        <v>67403</v>
      </c>
    </row>
    <row r="12" spans="1:9" x14ac:dyDescent="0.25">
      <c r="B12" s="4" t="s">
        <v>2</v>
      </c>
      <c r="C12" s="2" t="str">
        <f>"/build/"&amp;D12&amp;".proto.js"</f>
        <v>/build/Fun11_Restoration_Generator_4.proto.js</v>
      </c>
      <c r="D12" s="2" t="s">
        <v>27</v>
      </c>
      <c r="E12" s="2" t="s">
        <v>4</v>
      </c>
      <c r="F12" s="5">
        <v>67404</v>
      </c>
    </row>
    <row r="13" spans="1:9" ht="15.75" thickBot="1" x14ac:dyDescent="0.3">
      <c r="B13" s="6" t="s">
        <v>2</v>
      </c>
      <c r="C13" s="7" t="str">
        <f>"/build/"&amp;D13&amp;".proto.js"</f>
        <v>/build/Fun11_Restoration_Generator_5.proto.js</v>
      </c>
      <c r="D13" s="7" t="s">
        <v>28</v>
      </c>
      <c r="E13" s="7" t="s">
        <v>4</v>
      </c>
      <c r="F13" s="8">
        <v>67405</v>
      </c>
    </row>
    <row r="15" spans="1:9" ht="15.75" thickBot="1" x14ac:dyDescent="0.3"/>
    <row r="16" spans="1:9" ht="15.75" thickBot="1" x14ac:dyDescent="0.3">
      <c r="A16" s="11" t="s">
        <v>20</v>
      </c>
      <c r="B16" s="12" t="s">
        <v>13</v>
      </c>
      <c r="C16" s="12" t="s">
        <v>13</v>
      </c>
      <c r="D16" s="12" t="s">
        <v>13</v>
      </c>
      <c r="E16" s="12" t="s">
        <v>13</v>
      </c>
      <c r="F16" s="37" t="s">
        <v>16</v>
      </c>
      <c r="G16" s="37"/>
      <c r="H16" s="37"/>
      <c r="I16" s="10" t="s">
        <v>14</v>
      </c>
    </row>
    <row r="17" spans="2:9" x14ac:dyDescent="0.25">
      <c r="B17" s="3" t="s">
        <v>7</v>
      </c>
      <c r="C17" s="3" t="s">
        <v>8</v>
      </c>
      <c r="D17" s="3" t="s">
        <v>0</v>
      </c>
      <c r="E17" s="3" t="s">
        <v>3</v>
      </c>
      <c r="F17" s="38" t="s">
        <v>9</v>
      </c>
      <c r="G17" s="39"/>
      <c r="H17" s="40"/>
      <c r="I17" s="3" t="s">
        <v>5</v>
      </c>
    </row>
    <row r="18" spans="2:9" ht="15.75" thickBot="1" x14ac:dyDescent="0.3">
      <c r="B18" s="2" t="s">
        <v>2</v>
      </c>
      <c r="C18" s="2" t="str">
        <f>"/build/"&amp;D18&amp;".proto.js"</f>
        <v>/build/Fun11_Restoration_Generator.proto.js</v>
      </c>
      <c r="D18" s="7" t="s">
        <v>1</v>
      </c>
      <c r="E18" s="2" t="s">
        <v>4</v>
      </c>
      <c r="F18" s="1" t="s">
        <v>10</v>
      </c>
      <c r="G18" s="1" t="s">
        <v>10</v>
      </c>
      <c r="H18" s="1" t="s">
        <v>10</v>
      </c>
      <c r="I18" s="2">
        <v>67408</v>
      </c>
    </row>
    <row r="19" spans="2:9" x14ac:dyDescent="0.25">
      <c r="F19" s="2">
        <v>20</v>
      </c>
      <c r="G19" s="2">
        <v>21</v>
      </c>
      <c r="H19" s="2">
        <v>22</v>
      </c>
    </row>
    <row r="20" spans="2:9" x14ac:dyDescent="0.25">
      <c r="F20" s="3" t="s">
        <v>11</v>
      </c>
      <c r="G20" s="3" t="s">
        <v>11</v>
      </c>
      <c r="H20" s="3" t="s">
        <v>11</v>
      </c>
    </row>
    <row r="21" spans="2:9" x14ac:dyDescent="0.25">
      <c r="F21" s="2" t="s">
        <v>17</v>
      </c>
      <c r="G21" s="2" t="s">
        <v>18</v>
      </c>
      <c r="H21" s="2" t="s">
        <v>19</v>
      </c>
    </row>
    <row r="22" spans="2:9" x14ac:dyDescent="0.25">
      <c r="F22" s="1" t="s">
        <v>12</v>
      </c>
      <c r="G22" s="1" t="s">
        <v>12</v>
      </c>
      <c r="H22" s="1" t="s">
        <v>12</v>
      </c>
    </row>
    <row r="23" spans="2:9" x14ac:dyDescent="0.25">
      <c r="F23" s="2">
        <v>1</v>
      </c>
      <c r="G23" s="2">
        <v>2</v>
      </c>
      <c r="H23" s="2">
        <v>3</v>
      </c>
    </row>
  </sheetData>
  <mergeCells count="4">
    <mergeCell ref="F2:G2"/>
    <mergeCell ref="F3:G3"/>
    <mergeCell ref="F16:H16"/>
    <mergeCell ref="F17:H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selection activeCell="D1" sqref="D1:D3"/>
    </sheetView>
  </sheetViews>
  <sheetFormatPr defaultRowHeight="15" x14ac:dyDescent="0.25"/>
  <cols>
    <col min="1" max="1" width="22.140625" bestFit="1" customWidth="1"/>
    <col min="2" max="3" width="22" bestFit="1" customWidth="1"/>
    <col min="4" max="4" width="6" bestFit="1" customWidth="1"/>
    <col min="7" max="7" width="10.28515625" bestFit="1" customWidth="1"/>
    <col min="9" max="9" width="11.7109375" customWidth="1"/>
    <col min="10" max="10" width="109.5703125" bestFit="1" customWidth="1"/>
  </cols>
  <sheetData>
    <row r="1" spans="1:11" ht="15.75" thickBot="1" x14ac:dyDescent="0.3">
      <c r="A1" s="12" t="s">
        <v>31</v>
      </c>
      <c r="B1" s="24"/>
      <c r="D1" s="10" t="s">
        <v>14</v>
      </c>
      <c r="E1" s="25"/>
      <c r="G1" s="12" t="s">
        <v>13</v>
      </c>
      <c r="H1" s="25"/>
      <c r="J1" s="12" t="s">
        <v>30</v>
      </c>
      <c r="K1" s="24"/>
    </row>
    <row r="2" spans="1:11" x14ac:dyDescent="0.25">
      <c r="A2" s="3" t="s">
        <v>50</v>
      </c>
      <c r="B2" s="24"/>
      <c r="D2" s="3" t="s">
        <v>5</v>
      </c>
      <c r="E2" s="25"/>
      <c r="G2" s="3" t="s">
        <v>3</v>
      </c>
      <c r="H2" s="25"/>
      <c r="J2" s="3" t="s">
        <v>29</v>
      </c>
      <c r="K2" s="24"/>
    </row>
    <row r="3" spans="1:11" x14ac:dyDescent="0.25">
      <c r="A3" s="20" t="s">
        <v>51</v>
      </c>
      <c r="B3" s="24"/>
      <c r="D3" s="2">
        <v>67408</v>
      </c>
      <c r="E3" s="25"/>
      <c r="G3" s="2" t="s">
        <v>4</v>
      </c>
      <c r="H3" s="25"/>
      <c r="J3" s="1" t="s">
        <v>32</v>
      </c>
      <c r="K3" s="24"/>
    </row>
    <row r="4" spans="1:11" x14ac:dyDescent="0.25">
      <c r="A4" s="21" t="s">
        <v>52</v>
      </c>
      <c r="B4" s="24"/>
      <c r="J4" s="2">
        <v>1</v>
      </c>
      <c r="K4" s="24"/>
    </row>
    <row r="5" spans="1:11" x14ac:dyDescent="0.25">
      <c r="A5" s="20" t="s">
        <v>53</v>
      </c>
      <c r="B5" s="24"/>
      <c r="J5" s="1" t="s">
        <v>33</v>
      </c>
      <c r="K5" s="24"/>
    </row>
    <row r="6" spans="1:11" x14ac:dyDescent="0.25">
      <c r="A6" s="20" t="s">
        <v>54</v>
      </c>
      <c r="B6" s="24"/>
      <c r="J6" s="2">
        <v>1</v>
      </c>
      <c r="K6" s="24"/>
    </row>
    <row r="7" spans="1:11" ht="15.75" thickBot="1" x14ac:dyDescent="0.3">
      <c r="A7" s="22" t="s">
        <v>55</v>
      </c>
      <c r="B7" s="24"/>
      <c r="J7" s="1" t="s">
        <v>34</v>
      </c>
      <c r="K7" s="24"/>
    </row>
    <row r="8" spans="1:11" x14ac:dyDescent="0.25">
      <c r="J8" s="2" t="s">
        <v>43</v>
      </c>
      <c r="K8" s="24"/>
    </row>
    <row r="9" spans="1:11" ht="15.75" thickBot="1" x14ac:dyDescent="0.3">
      <c r="J9" s="1" t="s">
        <v>35</v>
      </c>
      <c r="K9" s="24"/>
    </row>
    <row r="10" spans="1:11" ht="15.75" thickBot="1" x14ac:dyDescent="0.3">
      <c r="A10" s="37" t="s">
        <v>16</v>
      </c>
      <c r="B10" s="37"/>
      <c r="C10" s="37"/>
      <c r="D10" s="23"/>
      <c r="J10" s="2" t="s">
        <v>44</v>
      </c>
      <c r="K10" s="24"/>
    </row>
    <row r="11" spans="1:11" x14ac:dyDescent="0.25">
      <c r="A11" s="38" t="s">
        <v>9</v>
      </c>
      <c r="B11" s="39"/>
      <c r="C11" s="40"/>
      <c r="D11" s="23"/>
      <c r="J11" s="1" t="s">
        <v>36</v>
      </c>
      <c r="K11" s="24"/>
    </row>
    <row r="12" spans="1:11" x14ac:dyDescent="0.25">
      <c r="A12" s="1" t="s">
        <v>10</v>
      </c>
      <c r="B12" s="1" t="s">
        <v>10</v>
      </c>
      <c r="C12" s="1" t="s">
        <v>10</v>
      </c>
      <c r="D12" s="23"/>
      <c r="J12" s="2" t="s">
        <v>45</v>
      </c>
      <c r="K12" s="24"/>
    </row>
    <row r="13" spans="1:11" x14ac:dyDescent="0.25">
      <c r="A13" s="2">
        <v>20</v>
      </c>
      <c r="B13" s="2">
        <v>21</v>
      </c>
      <c r="C13" s="2">
        <v>22</v>
      </c>
      <c r="D13" s="23"/>
      <c r="J13" s="1" t="s">
        <v>37</v>
      </c>
      <c r="K13" s="24"/>
    </row>
    <row r="14" spans="1:11" x14ac:dyDescent="0.25">
      <c r="A14" s="3" t="s">
        <v>11</v>
      </c>
      <c r="B14" s="3" t="s">
        <v>11</v>
      </c>
      <c r="C14" s="3" t="s">
        <v>11</v>
      </c>
      <c r="D14" s="23"/>
      <c r="J14" s="2" t="s">
        <v>46</v>
      </c>
      <c r="K14" s="24"/>
    </row>
    <row r="15" spans="1:11" x14ac:dyDescent="0.25">
      <c r="A15" s="2" t="s">
        <v>17</v>
      </c>
      <c r="B15" s="2" t="s">
        <v>18</v>
      </c>
      <c r="C15" s="2" t="s">
        <v>19</v>
      </c>
      <c r="D15" s="23"/>
      <c r="J15" s="1" t="s">
        <v>38</v>
      </c>
      <c r="K15" s="24"/>
    </row>
    <row r="16" spans="1:11" x14ac:dyDescent="0.25">
      <c r="A16" s="1" t="s">
        <v>12</v>
      </c>
      <c r="B16" s="1" t="s">
        <v>12</v>
      </c>
      <c r="C16" s="1" t="s">
        <v>12</v>
      </c>
      <c r="D16" s="23"/>
      <c r="J16" s="2" t="s">
        <v>47</v>
      </c>
      <c r="K16" s="24"/>
    </row>
    <row r="17" spans="1:11" x14ac:dyDescent="0.25">
      <c r="A17" s="2">
        <v>1</v>
      </c>
      <c r="B17" s="2">
        <v>2</v>
      </c>
      <c r="C17" s="2">
        <v>3</v>
      </c>
      <c r="D17" s="23"/>
      <c r="J17" s="1" t="s">
        <v>39</v>
      </c>
      <c r="K17" s="24"/>
    </row>
    <row r="18" spans="1:11" x14ac:dyDescent="0.25">
      <c r="J18" s="2" t="s">
        <v>48</v>
      </c>
      <c r="K18" s="24"/>
    </row>
    <row r="19" spans="1:11" x14ac:dyDescent="0.25">
      <c r="J19" s="1" t="s">
        <v>40</v>
      </c>
      <c r="K19" s="24"/>
    </row>
    <row r="20" spans="1:11" ht="15.75" thickBot="1" x14ac:dyDescent="0.3">
      <c r="J20" s="2" t="s">
        <v>49</v>
      </c>
      <c r="K20" s="24"/>
    </row>
    <row r="21" spans="1:11" ht="15.75" thickBot="1" x14ac:dyDescent="0.3">
      <c r="A21" s="35" t="s">
        <v>24</v>
      </c>
      <c r="B21" s="35"/>
      <c r="C21" s="25"/>
      <c r="J21" s="1" t="s">
        <v>41</v>
      </c>
      <c r="K21" s="24"/>
    </row>
    <row r="22" spans="1:11" x14ac:dyDescent="0.25">
      <c r="A22" s="36" t="s">
        <v>21</v>
      </c>
      <c r="B22" s="36"/>
      <c r="C22" s="25"/>
      <c r="J22" s="2">
        <v>1982825</v>
      </c>
      <c r="K22" s="24"/>
    </row>
    <row r="23" spans="1:11" x14ac:dyDescent="0.25">
      <c r="A23" s="2" t="s">
        <v>22</v>
      </c>
      <c r="B23" s="2" t="s">
        <v>23</v>
      </c>
      <c r="C23" s="25"/>
      <c r="J23" s="1" t="s">
        <v>42</v>
      </c>
      <c r="K23" s="24"/>
    </row>
    <row r="24" spans="1:11" ht="15.75" thickBot="1" x14ac:dyDescent="0.3">
      <c r="A24" s="7">
        <v>10</v>
      </c>
      <c r="B24" s="7">
        <v>5</v>
      </c>
      <c r="C24" s="25"/>
      <c r="J24" s="7">
        <v>16777215</v>
      </c>
      <c r="K24" s="24"/>
    </row>
  </sheetData>
  <mergeCells count="4">
    <mergeCell ref="A10:C10"/>
    <mergeCell ref="A11:C11"/>
    <mergeCell ref="A21:B21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conf</vt:lpstr>
      <vt:lpstr>Способы</vt:lpstr>
      <vt:lpstr>Значения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2026-02-27T06:51:09Z</dcterms:modified>
</cp:coreProperties>
</file>